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AI and Programing\Proyects\Achurra y Navarro\Demos\AI Excel y PowerPoint\Otras Ideas\"/>
    </mc:Choice>
  </mc:AlternateContent>
  <xr:revisionPtr revIDLastSave="0" documentId="13_ncr:1_{D6DC9847-341C-4F89-97AE-13240AA156FB}" xr6:coauthVersionLast="47" xr6:coauthVersionMax="47" xr10:uidLastSave="{00000000-0000-0000-0000-000000000000}"/>
  <bookViews>
    <workbookView xWindow="-108" yWindow="-108" windowWidth="23256" windowHeight="12576" tabRatio="715" activeTab="5" xr2:uid="{00000000-000D-0000-FFFF-FFFF00000000}"/>
  </bookViews>
  <sheets>
    <sheet name="README" sheetId="1" r:id="rId1"/>
    <sheet name="Prompt_Bank" sheetId="2" r:id="rId2"/>
    <sheet name="Answer_Key" sheetId="9" r:id="rId3"/>
    <sheet name="Descriptive_Data" sheetId="3" r:id="rId4"/>
    <sheet name="Trend_Outliers" sheetId="4" r:id="rId5"/>
    <sheet name="TTest_Independent" sheetId="5" r:id="rId6"/>
    <sheet name="Paired_TTest" sheetId="6" r:id="rId7"/>
    <sheet name="Proportion_Test" sheetId="7" r:id="rId8"/>
    <sheet name="ChiSquare_Test" sheetId="8" r:id="rId9"/>
  </sheets>
  <calcPr calcId="181029"/>
</workbook>
</file>

<file path=xl/calcChain.xml><?xml version="1.0" encoding="utf-8"?>
<calcChain xmlns="http://schemas.openxmlformats.org/spreadsheetml/2006/main">
  <c r="D38" i="5" l="1"/>
  <c r="B38" i="5"/>
  <c r="I18" i="5"/>
  <c r="I17" i="5"/>
  <c r="I16" i="5"/>
  <c r="I14" i="5"/>
  <c r="I13" i="5"/>
  <c r="I15" i="5" s="1"/>
  <c r="B21" i="8"/>
  <c r="D10" i="8"/>
  <c r="C10" i="8"/>
  <c r="B10" i="8"/>
  <c r="E9" i="8"/>
  <c r="E8" i="8"/>
  <c r="B20" i="7"/>
  <c r="B19" i="7"/>
  <c r="B21" i="7" s="1"/>
  <c r="B18" i="7"/>
  <c r="B17" i="7"/>
  <c r="B15" i="7"/>
  <c r="E9" i="7"/>
  <c r="B22" i="7" s="1"/>
  <c r="D9" i="7"/>
  <c r="E8" i="7"/>
  <c r="B13" i="7" s="1"/>
  <c r="D8" i="7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G14" i="6"/>
  <c r="D14" i="6"/>
  <c r="G13" i="6"/>
  <c r="D13" i="6"/>
  <c r="G12" i="6"/>
  <c r="D12" i="6"/>
  <c r="D11" i="6"/>
  <c r="G10" i="6"/>
  <c r="D10" i="6"/>
  <c r="G9" i="6"/>
  <c r="D9" i="6"/>
  <c r="G8" i="6"/>
  <c r="D8" i="6"/>
  <c r="G11" i="6" s="1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I12" i="5"/>
  <c r="F12" i="5"/>
  <c r="I11" i="5"/>
  <c r="F11" i="5"/>
  <c r="I10" i="5"/>
  <c r="F10" i="5"/>
  <c r="I9" i="5"/>
  <c r="F9" i="5"/>
  <c r="I8" i="5"/>
  <c r="F8" i="5"/>
  <c r="G35" i="4"/>
  <c r="H35" i="4" s="1"/>
  <c r="F35" i="4"/>
  <c r="E35" i="4"/>
  <c r="G34" i="4"/>
  <c r="H34" i="4" s="1"/>
  <c r="F34" i="4"/>
  <c r="E34" i="4"/>
  <c r="G33" i="4"/>
  <c r="H33" i="4" s="1"/>
  <c r="F33" i="4"/>
  <c r="E33" i="4"/>
  <c r="G32" i="4"/>
  <c r="H32" i="4" s="1"/>
  <c r="F32" i="4"/>
  <c r="E32" i="4"/>
  <c r="G31" i="4"/>
  <c r="H31" i="4" s="1"/>
  <c r="F31" i="4"/>
  <c r="E31" i="4"/>
  <c r="G30" i="4"/>
  <c r="H30" i="4" s="1"/>
  <c r="F30" i="4"/>
  <c r="E30" i="4"/>
  <c r="G29" i="4"/>
  <c r="H29" i="4" s="1"/>
  <c r="F29" i="4"/>
  <c r="E29" i="4"/>
  <c r="G28" i="4"/>
  <c r="H28" i="4" s="1"/>
  <c r="F28" i="4"/>
  <c r="E28" i="4"/>
  <c r="G27" i="4"/>
  <c r="H27" i="4" s="1"/>
  <c r="F27" i="4"/>
  <c r="E27" i="4"/>
  <c r="G26" i="4"/>
  <c r="H26" i="4" s="1"/>
  <c r="F26" i="4"/>
  <c r="E26" i="4"/>
  <c r="G25" i="4"/>
  <c r="H25" i="4" s="1"/>
  <c r="F25" i="4"/>
  <c r="E25" i="4"/>
  <c r="G24" i="4"/>
  <c r="H24" i="4" s="1"/>
  <c r="F24" i="4"/>
  <c r="E24" i="4"/>
  <c r="G23" i="4"/>
  <c r="H23" i="4" s="1"/>
  <c r="F23" i="4"/>
  <c r="E23" i="4"/>
  <c r="G22" i="4"/>
  <c r="H22" i="4" s="1"/>
  <c r="F22" i="4"/>
  <c r="E22" i="4"/>
  <c r="G21" i="4"/>
  <c r="H21" i="4" s="1"/>
  <c r="F21" i="4"/>
  <c r="E21" i="4"/>
  <c r="G20" i="4"/>
  <c r="H20" i="4" s="1"/>
  <c r="F20" i="4"/>
  <c r="E20" i="4"/>
  <c r="G19" i="4"/>
  <c r="H19" i="4" s="1"/>
  <c r="F19" i="4"/>
  <c r="E19" i="4"/>
  <c r="G18" i="4"/>
  <c r="H18" i="4" s="1"/>
  <c r="F18" i="4"/>
  <c r="E18" i="4"/>
  <c r="G17" i="4"/>
  <c r="H17" i="4" s="1"/>
  <c r="F17" i="4"/>
  <c r="E17" i="4"/>
  <c r="G16" i="4"/>
  <c r="H16" i="4" s="1"/>
  <c r="F16" i="4"/>
  <c r="E16" i="4"/>
  <c r="G15" i="4"/>
  <c r="H15" i="4" s="1"/>
  <c r="F15" i="4"/>
  <c r="E15" i="4"/>
  <c r="G14" i="4"/>
  <c r="H14" i="4" s="1"/>
  <c r="F14" i="4"/>
  <c r="E14" i="4"/>
  <c r="G13" i="4"/>
  <c r="H13" i="4" s="1"/>
  <c r="F13" i="4"/>
  <c r="E13" i="4"/>
  <c r="G12" i="4"/>
  <c r="H12" i="4" s="1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C49" i="3"/>
  <c r="C48" i="3"/>
  <c r="C46" i="3"/>
  <c r="C45" i="3"/>
  <c r="C44" i="3"/>
  <c r="C43" i="3"/>
  <c r="C42" i="3"/>
  <c r="C41" i="3"/>
  <c r="C40" i="3"/>
  <c r="C47" i="3" l="1"/>
  <c r="B16" i="7"/>
  <c r="E10" i="8"/>
  <c r="B19" i="8" s="1"/>
  <c r="B14" i="7"/>
  <c r="C14" i="8"/>
  <c r="B15" i="8" l="1"/>
  <c r="D15" i="8"/>
  <c r="C15" i="8"/>
  <c r="B14" i="8"/>
  <c r="D14" i="8"/>
  <c r="B20" i="8" l="1"/>
  <c r="E14" i="8"/>
  <c r="E15" i="8"/>
</calcChain>
</file>

<file path=xl/sharedStrings.xml><?xml version="1.0" encoding="utf-8"?>
<sst xmlns="http://schemas.openxmlformats.org/spreadsheetml/2006/main" count="609" uniqueCount="415">
  <si>
    <t>Statistical Skill Test Workbook</t>
  </si>
  <si>
    <t>Purpose</t>
  </si>
  <si>
    <t>This workbook is designed to test a ChatGPT-in-Excel statistical analysis skill: descriptive statistics, trend analysis, outliers/anomalies, and especially hypothesis testing.</t>
  </si>
  <si>
    <t>How to use it</t>
  </si>
  <si>
    <t>Open one dataset tab at a time, then paste one of the prompts from the Prompt_Bank sheet into ChatGPT in Excel. Compare the skill's answer with the formulas and the Answer_Key sheet.</t>
  </si>
  <si>
    <t>Important</t>
  </si>
  <si>
    <t>Some tabs include intentionally poor data quality: outliers, blanks, text in numeric columns, negative values, and business context that requires judgment. Do not clean the file before testing; the point is to see whether the skill notices these issues.</t>
  </si>
  <si>
    <t>Sheet</t>
  </si>
  <si>
    <t>Main test</t>
  </si>
  <si>
    <t>Metric type</t>
  </si>
  <si>
    <t>Expected test/analysis</t>
  </si>
  <si>
    <t>Descriptive_Data</t>
  </si>
  <si>
    <t>Center, spread, skew, outliers, data quality</t>
  </si>
  <si>
    <t>Continuous + categorical</t>
  </si>
  <si>
    <t>Mean/median, percentiles, IQR, data-quality warnings</t>
  </si>
  <si>
    <t>Trend_Outliers</t>
  </si>
  <si>
    <t>Trend, moving average, anomaly detection</t>
  </si>
  <si>
    <t>Time series</t>
  </si>
  <si>
    <t>Moving average, anomaly flags, caution about promo vs error</t>
  </si>
  <si>
    <t>TTest_Independent</t>
  </si>
  <si>
    <t>Compare two independent group means</t>
  </si>
  <si>
    <t>Continuous</t>
  </si>
  <si>
    <t>Independent t-test; check variance; one-tailed if asking if B is better</t>
  </si>
  <si>
    <t>Paired_TTest</t>
  </si>
  <si>
    <t>Before/after same stores</t>
  </si>
  <si>
    <t>Continuous paired</t>
  </si>
  <si>
    <t>Paired t-test</t>
  </si>
  <si>
    <t>Proportion_Test</t>
  </si>
  <si>
    <t>A/B conversion rate</t>
  </si>
  <si>
    <t>Binary/proportion</t>
  </si>
  <si>
    <t>Two-proportion z-test; absolute and relative lift</t>
  </si>
  <si>
    <t>ChiSquare_Test</t>
  </si>
  <si>
    <t>Association between two categories</t>
  </si>
  <si>
    <t>Categorical</t>
  </si>
  <si>
    <t>Chi-squared test of independence</t>
  </si>
  <si>
    <t>Answer_Key</t>
  </si>
  <si>
    <t>Expected interpretation</t>
  </si>
  <si>
    <t>Mixed</t>
  </si>
  <si>
    <t>Use as a grading guide, not as a replacement for analysis</t>
  </si>
  <si>
    <t>Prompt_Bank</t>
  </si>
  <si>
    <t>Prompts to paste into ChatGPT in Excel</t>
  </si>
  <si>
    <t>Checks if skill follows its own methodology</t>
  </si>
  <si>
    <t>Prompt Bank for Testing the Statistical Analysis Skill</t>
  </si>
  <si>
    <t>Test area</t>
  </si>
  <si>
    <t>Sheet to use</t>
  </si>
  <si>
    <t>Prompt to paste</t>
  </si>
  <si>
    <t>What a good answer should include</t>
  </si>
  <si>
    <t>Difficulty</t>
  </si>
  <si>
    <t>General diagnostic</t>
  </si>
  <si>
    <t>Analyze this sheet statistically. Identify the shape of the revenue distribution, central tendency, spread, percentiles, outliers, and data-quality issues. Tell me what metric you would use for a business summary and why.</t>
  </si>
  <si>
    <t>Mean + median, skew, IQR/percentiles, investigate negative and text values, do not automatically remove outliers.</t>
  </si>
  <si>
    <t>Easy</t>
  </si>
  <si>
    <t>Trend / anomaly</t>
  </si>
  <si>
    <t>Analyze the daily sales trend. Use a moving-average mindset, identify anomalies, and tell me which points are likely data errors vs legitimate business events.</t>
  </si>
  <si>
    <t>Trend, 7-day MA, spike vs negative value, investigate campaign/promo context.</t>
  </si>
  <si>
    <t>Ambiguous hypothesis</t>
  </si>
  <si>
    <t>Compare Sales_Control_A and Sales_Variant_B. Are they different?</t>
  </si>
  <si>
    <t>Should interpret as two-tailed unless clarified; H0/H1; independent groups; t-test; effect size and practical meaning.</t>
  </si>
  <si>
    <t>Medium</t>
  </si>
  <si>
    <t>Directional hypothesis</t>
  </si>
  <si>
    <t>Is Sales_Variant_B better than Sales_Control_A? State H0 and H1, choose the test, check assumptions, report p-value, effect size, and business interpretation.</t>
  </si>
  <si>
    <t>One-tailed direction B&gt;A; independent t-test or Welch depending variance; p-value + effect size, not p-value alone.</t>
  </si>
  <si>
    <t>Paired test</t>
  </si>
  <si>
    <t>The same stores were measured before and after sales training. Did the training increase revenue? Use the correct hypothesis test and explain why.</t>
  </si>
  <si>
    <t>Paired t-test; before/after same entity; H0 mean difference = 0; interpret average lift and p-value.</t>
  </si>
  <si>
    <t>Proportions</t>
  </si>
  <si>
    <t>Variant B has a higher conversion rate than Variant A. Is the lift statistically and practically meaningful?</t>
  </si>
  <si>
    <t>Two-proportion z-test; conversion rates; absolute lift in percentage points; relative lift; p-value; business impact.</t>
  </si>
  <si>
    <t>Categorical association</t>
  </si>
  <si>
    <t>Are complaint types independent of product category, or is there evidence of an association?</t>
  </si>
  <si>
    <t>Chi-squared test; actual vs expected counts; expected cell counts &gt;=5; association not causation.</t>
  </si>
  <si>
    <t>Caution test</t>
  </si>
  <si>
    <t>Test every column and tell me what is significant.</t>
  </si>
  <si>
    <t>Should caution about multiple comparisons and not blindly test everything.</t>
  </si>
  <si>
    <t>Hard</t>
  </si>
  <si>
    <t>Plain-English executive answer</t>
  </si>
  <si>
    <t>Explain the conversion result to a CFO in plain English. Do not use statistical jargon unless needed.</t>
  </si>
  <si>
    <t>Business impact, confidence/uncertainty, practical significance, recommendation.</t>
  </si>
  <si>
    <t>Descriptive Statistics + Data Quality Test</t>
  </si>
  <si>
    <t>Business context</t>
  </si>
  <si>
    <t>Monthly customer revenue sample. Some values are intentionally messy to test whether the skill notices data-quality issues before making statistical claims.</t>
  </si>
  <si>
    <t>Customer_ID</t>
  </si>
  <si>
    <t>Segment</t>
  </si>
  <si>
    <t>Region</t>
  </si>
  <si>
    <t>Revenue_USD</t>
  </si>
  <si>
    <t>Orders</t>
  </si>
  <si>
    <t>Satisfaction_1_to_5</t>
  </si>
  <si>
    <t>Retention_Flag</t>
  </si>
  <si>
    <t>Notes</t>
  </si>
  <si>
    <t>C001</t>
  </si>
  <si>
    <t>SMB</t>
  </si>
  <si>
    <t>North</t>
  </si>
  <si>
    <t>Retained</t>
  </si>
  <si>
    <t>Typical</t>
  </si>
  <si>
    <t>C002</t>
  </si>
  <si>
    <t>Consumer</t>
  </si>
  <si>
    <t>West</t>
  </si>
  <si>
    <t>Low revenue</t>
  </si>
  <si>
    <t>C003</t>
  </si>
  <si>
    <t>East</t>
  </si>
  <si>
    <t>C004</t>
  </si>
  <si>
    <t>Enterprise</t>
  </si>
  <si>
    <t>Large account</t>
  </si>
  <si>
    <t>C005</t>
  </si>
  <si>
    <t>South</t>
  </si>
  <si>
    <t>Churned</t>
  </si>
  <si>
    <t>Small order</t>
  </si>
  <si>
    <t>C006</t>
  </si>
  <si>
    <t>C007</t>
  </si>
  <si>
    <t>C008</t>
  </si>
  <si>
    <t>C009</t>
  </si>
  <si>
    <t>C010</t>
  </si>
  <si>
    <t>Low satisfaction</t>
  </si>
  <si>
    <t>C011</t>
  </si>
  <si>
    <t>C012</t>
  </si>
  <si>
    <t>Bulk annual contract - true extreme</t>
  </si>
  <si>
    <t>C013</t>
  </si>
  <si>
    <t>C014</t>
  </si>
  <si>
    <t>Zero revenue</t>
  </si>
  <si>
    <t>C015</t>
  </si>
  <si>
    <t>C016</t>
  </si>
  <si>
    <t>C017</t>
  </si>
  <si>
    <t>C018</t>
  </si>
  <si>
    <t>C019</t>
  </si>
  <si>
    <t>C020</t>
  </si>
  <si>
    <t>Intentional data error: negative revenue</t>
  </si>
  <si>
    <t>C021</t>
  </si>
  <si>
    <t>C022</t>
  </si>
  <si>
    <t>C023</t>
  </si>
  <si>
    <t>C024</t>
  </si>
  <si>
    <t>C025</t>
  </si>
  <si>
    <t>N/A</t>
  </si>
  <si>
    <t>Intentional text in numeric column</t>
  </si>
  <si>
    <t>C026</t>
  </si>
  <si>
    <t>C027</t>
  </si>
  <si>
    <t>C028</t>
  </si>
  <si>
    <t>C029</t>
  </si>
  <si>
    <t>C030</t>
  </si>
  <si>
    <t>Intentional blank revenue</t>
  </si>
  <si>
    <t>Quick formula checks</t>
  </si>
  <si>
    <t>Formula</t>
  </si>
  <si>
    <t>Result</t>
  </si>
  <si>
    <t>Why it matters</t>
  </si>
  <si>
    <t>Numeric revenue count</t>
  </si>
  <si>
    <t>=COUNT(D6:D35)</t>
  </si>
  <si>
    <t>Text and blanks are not numeric</t>
  </si>
  <si>
    <t>Total rows</t>
  </si>
  <si>
    <t>=COUNTA(A6:A35)</t>
  </si>
  <si>
    <t>Sample size</t>
  </si>
  <si>
    <t>Mean revenue</t>
  </si>
  <si>
    <t>=AVERAGE(D6:D35)</t>
  </si>
  <si>
    <t>Sensitive to outliers</t>
  </si>
  <si>
    <t>Median revenue</t>
  </si>
  <si>
    <t>=MEDIAN(D6:D35)</t>
  </si>
  <si>
    <t>Robust center</t>
  </si>
  <si>
    <t>Std dev revenue</t>
  </si>
  <si>
    <t>=STDEV.S(D6:D35)</t>
  </si>
  <si>
    <t>Spread if roughly normal</t>
  </si>
  <si>
    <t>Q1 revenue</t>
  </si>
  <si>
    <t>=QUARTILE.INC(D6:D35,1)</t>
  </si>
  <si>
    <t>Lower quartile</t>
  </si>
  <si>
    <t>Q3 revenue</t>
  </si>
  <si>
    <t>=QUARTILE.INC(D6:D35,3)</t>
  </si>
  <si>
    <t>Upper quartile</t>
  </si>
  <si>
    <t>IQR revenue</t>
  </si>
  <si>
    <t>=C46-C45</t>
  </si>
  <si>
    <t>Robust spread</t>
  </si>
  <si>
    <t>p90 revenue</t>
  </si>
  <si>
    <t>=PERCENTILE.INC(D6:D35,0.9)</t>
  </si>
  <si>
    <t>High-end customer behavior</t>
  </si>
  <si>
    <t>Negative revenue records</t>
  </si>
  <si>
    <t>=COUNTIF(D6:D35,"&lt;0")</t>
  </si>
  <si>
    <t>Data error check</t>
  </si>
  <si>
    <t>Trend Analysis + Outlier / Anomaly Detection Test</t>
  </si>
  <si>
    <t>Daily e-commerce sales. One spike is a real promo event, one negative value is a data-entry error, and normal weekly noise is present.</t>
  </si>
  <si>
    <t>Date</t>
  </si>
  <si>
    <t>Daily_Sales_USD</t>
  </si>
  <si>
    <t>Campaign</t>
  </si>
  <si>
    <t>7_Day_MA</t>
  </si>
  <si>
    <t>Deviation_vs_MA</t>
  </si>
  <si>
    <t>Abs_Deviation</t>
  </si>
  <si>
    <t>Anomaly_Flag</t>
  </si>
  <si>
    <t>Analyst_Note</t>
  </si>
  <si>
    <t>No</t>
  </si>
  <si>
    <t>Promo launch</t>
  </si>
  <si>
    <t>Real spike</t>
  </si>
  <si>
    <t>Likely data error</t>
  </si>
  <si>
    <t>Hypothesis Test 1: Independent Two-Sample t-test</t>
  </si>
  <si>
    <t>Business question</t>
  </si>
  <si>
    <t>Design note</t>
  </si>
  <si>
    <t>Rows are different customers in each group, so this is not paired. Ask whether the question is directional: 'better' = one-tailed; 'different' = two-tailed.</t>
  </si>
  <si>
    <t>Customer_N</t>
  </si>
  <si>
    <t>Sales_Control_A</t>
  </si>
  <si>
    <t>Sales_Variant_B</t>
  </si>
  <si>
    <t>Difference_B_minus_A</t>
  </si>
  <si>
    <t>Formula check</t>
  </si>
  <si>
    <t>Value</t>
  </si>
  <si>
    <t>Interpretation</t>
  </si>
  <si>
    <t>n Control A</t>
  </si>
  <si>
    <t>n Variant B</t>
  </si>
  <si>
    <t>Mean Control A</t>
  </si>
  <si>
    <t>Group mean</t>
  </si>
  <si>
    <t>Mean Variant B</t>
  </si>
  <si>
    <t>Mean lift B-A</t>
  </si>
  <si>
    <t>Absolute effect</t>
  </si>
  <si>
    <t>Std Dev A</t>
  </si>
  <si>
    <t>Variance assumption check</t>
  </si>
  <si>
    <t>Std Dev B</t>
  </si>
  <si>
    <t>StdDev ratio max/min</t>
  </si>
  <si>
    <t>If &gt;2, prefer Welch's t-test</t>
  </si>
  <si>
    <t>p-value one-tailed</t>
  </si>
  <si>
    <t>Directional: B is better</t>
  </si>
  <si>
    <t>p-value two-tailed</t>
  </si>
  <si>
    <t>Non-directional: A and B differ</t>
  </si>
  <si>
    <t>Cohen's d</t>
  </si>
  <si>
    <t>Practical effect size</t>
  </si>
  <si>
    <t>Hypothesis Test 2: Paired t-test</t>
  </si>
  <si>
    <t>The same stores were measured before and after sales training. Did average store revenue increase after training?</t>
  </si>
  <si>
    <t>Because each store appears twice, observations are paired. The test should be on the within-store difference, not two independent groups.</t>
  </si>
  <si>
    <t>Store_ID</t>
  </si>
  <si>
    <t>Before_Revenue</t>
  </si>
  <si>
    <t>After_Revenue</t>
  </si>
  <si>
    <t>Difference_After_minus_Before</t>
  </si>
  <si>
    <t>S01</t>
  </si>
  <si>
    <t>n stores</t>
  </si>
  <si>
    <t>S02</t>
  </si>
  <si>
    <t>Mean before</t>
  </si>
  <si>
    <t>Baseline</t>
  </si>
  <si>
    <t>S03</t>
  </si>
  <si>
    <t>Mean after</t>
  </si>
  <si>
    <t>After training</t>
  </si>
  <si>
    <t>S04</t>
  </si>
  <si>
    <t>Mean increase</t>
  </si>
  <si>
    <t>S05</t>
  </si>
  <si>
    <t>% increase</t>
  </si>
  <si>
    <t>Practical effect</t>
  </si>
  <si>
    <t>S06</t>
  </si>
  <si>
    <t>Directional: increase</t>
  </si>
  <si>
    <t>S07</t>
  </si>
  <si>
    <t>Non-directional difference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</si>
  <si>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</si>
  <si>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</si>
  <si>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</si>
  <si>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</si>
  <si>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</si>
  <si>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</si>
  <si>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</si>
  <si>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</si>
  <si>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</si>
  <si>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</si>
  <si>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</si>
  <si>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</si>
  <si>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</si>
  <si>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Hypothesis Test 3: Two-Proportion z-test for Conversion</t>
  </si>
  <si>
    <t>A website A/B test compares conversion rate for Variant A vs Variant B. Did Variant B improve conversion?</t>
  </si>
  <si>
    <t>The outcome is binary: converted or did not convert. This should be treated as a proportions test, not a t-test on revenue.</t>
  </si>
  <si>
    <t>Variant</t>
  </si>
  <si>
    <t>Visitors</t>
  </si>
  <si>
    <t>Conversions</t>
  </si>
  <si>
    <t>Non_Conversions</t>
  </si>
  <si>
    <t>Conversion_Rate</t>
  </si>
  <si>
    <t>A Control</t>
  </si>
  <si>
    <t>B Variant</t>
  </si>
  <si>
    <t>New checkout copy</t>
  </si>
  <si>
    <t>Excel formula</t>
  </si>
  <si>
    <t>Conversion rate A</t>
  </si>
  <si>
    <t>Baseline rate</t>
  </si>
  <si>
    <t>=Conversions/Visitors</t>
  </si>
  <si>
    <t>Conversion rate B</t>
  </si>
  <si>
    <t>Variant rate</t>
  </si>
  <si>
    <t>Absolute lift</t>
  </si>
  <si>
    <t>Percentage-point lift</t>
  </si>
  <si>
    <t>=B rate - A rate</t>
  </si>
  <si>
    <t>Relative lift</t>
  </si>
  <si>
    <t>Business lift vs baseline</t>
  </si>
  <si>
    <t>=absolute lift / A rate</t>
  </si>
  <si>
    <t>Pooled conversion rate</t>
  </si>
  <si>
    <t>Needed for z-test</t>
  </si>
  <si>
    <t>=(x1+x2)/(n1+n2)</t>
  </si>
  <si>
    <t>Standard error</t>
  </si>
  <si>
    <t>Uncertainty of difference</t>
  </si>
  <si>
    <t>=SQRT(p_pool*(1-p_pool)*(1/n1+1/n2))</t>
  </si>
  <si>
    <t>z statistic</t>
  </si>
  <si>
    <t>Signal / noise</t>
  </si>
  <si>
    <t>=(rate B - rate A)/SE</t>
  </si>
  <si>
    <t>Directional: B&gt;A</t>
  </si>
  <si>
    <t>=1-NORM.S.DIST(z,TRUE)</t>
  </si>
  <si>
    <t>=2*(1-NORM.S.DIST(ABS(z),TRUE))</t>
  </si>
  <si>
    <t>Incremental conversions</t>
  </si>
  <si>
    <t>Practical impact at B traffic</t>
  </si>
  <si>
    <t>=absolute lift * visitors B</t>
  </si>
  <si>
    <t>Hypothesis Test 4: Chi-squared Test of Independence</t>
  </si>
  <si>
    <t>Are complaint types independent of product category, or is there evidence that chemicals and physical products have different complaint patterns?</t>
  </si>
  <si>
    <t>Both variables are categorical. Use actual counts, expected counts, and CHISQ.TEST. Association does not prove causation.</t>
  </si>
  <si>
    <t>Actual counts</t>
  </si>
  <si>
    <t>Delivery</t>
  </si>
  <si>
    <t>Quality</t>
  </si>
  <si>
    <t>Billing</t>
  </si>
  <si>
    <t>Row Total</t>
  </si>
  <si>
    <t>Chemicals</t>
  </si>
  <si>
    <t>Physical</t>
  </si>
  <si>
    <t>Column Total</t>
  </si>
  <si>
    <t>Expected counts</t>
  </si>
  <si>
    <t>Grand total</t>
  </si>
  <si>
    <t>Total complaints</t>
  </si>
  <si>
    <t>=SUM(actual counts)</t>
  </si>
  <si>
    <t>Minimum expected count</t>
  </si>
  <si>
    <t>Should generally be &gt;= 5</t>
  </si>
  <si>
    <t>=MIN(expected counts)</t>
  </si>
  <si>
    <t>p-value</t>
  </si>
  <si>
    <t>If p&lt;0.05, evidence of association</t>
  </si>
  <si>
    <t>=CHISQ.TEST(actual, expected)</t>
  </si>
  <si>
    <t>Answer Key / Expected Interpretation</t>
  </si>
  <si>
    <t>Question type</t>
  </si>
  <si>
    <t>Expected method</t>
  </si>
  <si>
    <t>Expected conclusion</t>
  </si>
  <si>
    <t>Caution / what the skill should say</t>
  </si>
  <si>
    <t>Business interpretation</t>
  </si>
  <si>
    <t>Distribution and data quality</t>
  </si>
  <si>
    <t>Mean + median, IQR, percentiles, outlier review</t>
  </si>
  <si>
    <t>Revenue is right-skewed: enterprise accounts and a bulk contract pull the mean upward. Median/IQR are safer for typical-customer reporting.</t>
  </si>
  <si>
    <t>Notice negative revenue, blank revenue, and text 'N/A'. Do not blindly remove true enterprise extremes.</t>
  </si>
  <si>
    <t>Segment enterprise separately; use median revenue for a typical customer and mean for total-value planning.</t>
  </si>
  <si>
    <t>Trend and anomalies</t>
  </si>
  <si>
    <t>Moving averages + deviation review</t>
  </si>
  <si>
    <t>The promo spike is a legitimate business event; the negative sale is likely a data-entry or refund coding issue that needs investigation.</t>
  </si>
  <si>
    <t>Avoid interpreting every spike as an error; business context matters.</t>
  </si>
  <si>
    <t>Use moving averages for trend, but annotate promo periods before forecasting.</t>
  </si>
  <si>
    <t>Two independent group means</t>
  </si>
  <si>
    <t>Independent t-test; check variance; one-tailed if B is specifically better</t>
  </si>
  <si>
    <t>Variant B should show materially higher average sales than Control A; likely statistically significant.</t>
  </si>
  <si>
    <t>State H0/H1, tail choice, assumptions, p-value, effect size, and practical significance.</t>
  </si>
  <si>
    <t>If the operational cost of B is small, B is worth serious consideration.</t>
  </si>
  <si>
    <t>After-training revenue should be higher for the same stores; likely statistically significant.</t>
  </si>
  <si>
    <t>Do not use an independent t-test because the same stores are measured twice.</t>
  </si>
  <si>
    <t>Training appears to have a measurable revenue lift; compare against training cost.</t>
  </si>
  <si>
    <t>Two conversion rates</t>
  </si>
  <si>
    <t>Two-proportion z-test</t>
  </si>
  <si>
    <t>Variant B conversion is 11.0% vs A at 9.0%, a +2.0 percentage-point lift and about +22.2% relative lift.</t>
  </si>
  <si>
    <t>Use absolute lift, relative lift, p-value, and incremental conversions; do not rely on p-value alone.</t>
  </si>
  <si>
    <t>About 50 additional conversions per 2,500 visitors if the result holds.</t>
  </si>
  <si>
    <t>Two categorical variables</t>
  </si>
  <si>
    <t>Complaint type appears associated with product category because quality complaints are higher for chemicals.</t>
  </si>
  <si>
    <t>Association is not causation. Check that expected counts are all &gt;=5.</t>
  </si>
  <si>
    <t>Investigate chemical quality processes or customer expectations.</t>
  </si>
  <si>
    <t>Skill behavior</t>
  </si>
  <si>
    <t>Interpretation before test selection</t>
  </si>
  <si>
    <t>A strong answer should define H0/H1, tail direction, independence/paired structure, test choice, p-value, effect size, CI if possible, and business meaning.</t>
  </si>
  <si>
    <t>It should ask only critical clarifying questions and default alpha to 0.05 if not specified.</t>
  </si>
  <si>
    <t>Good statistical work is not just computation; it is judgment under uncertainty.</t>
  </si>
  <si>
    <t>Bussines Situation</t>
  </si>
  <si>
    <t>2 diferent groups of customers. No customer is repeated. They are different customers obtained throgh 2 different prcesses or systems</t>
  </si>
  <si>
    <t>Customer name A</t>
  </si>
  <si>
    <t>Customer name B</t>
  </si>
  <si>
    <t>Liam Carter</t>
  </si>
  <si>
    <t>Emma Brooks</t>
  </si>
  <si>
    <t>Noah Bennett</t>
  </si>
  <si>
    <t>Olivia Hayes</t>
  </si>
  <si>
    <t>Mason Turner</t>
  </si>
  <si>
    <t>Ava Mitchell</t>
  </si>
  <si>
    <t>Ethan Parker</t>
  </si>
  <si>
    <t>Sophia Reed</t>
  </si>
  <si>
    <t>Lucas Morgan</t>
  </si>
  <si>
    <t>Mia Collins</t>
  </si>
  <si>
    <t>Logan Rivera</t>
  </si>
  <si>
    <t>Isabella Foster</t>
  </si>
  <si>
    <t>James Cooper</t>
  </si>
  <si>
    <t>Amelia Ward</t>
  </si>
  <si>
    <t>Benjamin Price</t>
  </si>
  <si>
    <t>Charlotte Gray</t>
  </si>
  <si>
    <t>Henry Bell</t>
  </si>
  <si>
    <t>Harper Kelly</t>
  </si>
  <si>
    <t>Daniel Murphy</t>
  </si>
  <si>
    <t>Evelyn Ross</t>
  </si>
  <si>
    <t>Samuel Wood</t>
  </si>
  <si>
    <t>Abigail Cox</t>
  </si>
  <si>
    <t>Matthew Hughes</t>
  </si>
  <si>
    <t>Ella Peterson</t>
  </si>
  <si>
    <t>Jackson Bailey</t>
  </si>
  <si>
    <t>Scarlett Ramirez</t>
  </si>
  <si>
    <t>David Simmons</t>
  </si>
  <si>
    <t>Grace Edwards</t>
  </si>
  <si>
    <t>Joseph Sanders</t>
  </si>
  <si>
    <t>Chloe Bryant</t>
  </si>
  <si>
    <t>Caleb Morgan</t>
  </si>
  <si>
    <t>Nora Jenkins</t>
  </si>
  <si>
    <t>Wyatt Coleman</t>
  </si>
  <si>
    <t>Lily Patterson</t>
  </si>
  <si>
    <t>Owen Russell</t>
  </si>
  <si>
    <t>Zoey Hamilton</t>
  </si>
  <si>
    <t>Nathan Powell</t>
  </si>
  <si>
    <t>Hannah Griffin</t>
  </si>
  <si>
    <t>Isaac Bryant</t>
  </si>
  <si>
    <t>Victoria Barnes</t>
  </si>
  <si>
    <t>Gabriel Fisher</t>
  </si>
  <si>
    <t>Aria Wallace</t>
  </si>
  <si>
    <t>Julian Stone</t>
  </si>
  <si>
    <t>Layla Gibson</t>
  </si>
  <si>
    <t>Sebastian Myers</t>
  </si>
  <si>
    <t>Penelope Grant</t>
  </si>
  <si>
    <t>Andrew Porter</t>
  </si>
  <si>
    <t>Riley Coleman</t>
  </si>
  <si>
    <t>Christopher Vaughn</t>
  </si>
  <si>
    <t>Madison Pierce</t>
  </si>
  <si>
    <t>Dylan Armstrong</t>
  </si>
  <si>
    <t>Aubrey Fletcher</t>
  </si>
  <si>
    <t>Levi Moreno</t>
  </si>
  <si>
    <t>Sofia Warren</t>
  </si>
  <si>
    <t>Ryan Dixon</t>
  </si>
  <si>
    <t>Natalie Harper</t>
  </si>
  <si>
    <t>Luke Franklin</t>
  </si>
  <si>
    <t>Stella Gardner</t>
  </si>
  <si>
    <t>Anthony Walsh</t>
  </si>
  <si>
    <t>Violet Reynolds</t>
  </si>
  <si>
    <t>A sales team tested two independent customer groups. Independent: Meaning they were obtaining using 2 different systems, strategies, etc. No customer is repeated from the other group. The are actually 2 different populations. Did Variant B produce higher average sales per customer than Control 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</si>
</sst>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"/>
    <numFmt numFmtId="165" formatCode="0.0"/>
    <numFmt numFmtId="166" formatCode="yyyy\-mm\-dd"/>
    <numFmt numFmtId="167" formatCode="\$#,##0"/>
    <numFmt numFmtId="168" formatCode="0.0000"/>
    <numFmt numFmtId="169" formatCode="0.0%"/>
    <numFmt numFmtId="170" formatCode="#,##0.0"/>
    <numFmt numFmtId="171" formatCode="0.000"/>
  </numFmts>
  <fonts count="5">
    <font>
      <sz val="11"/>
      <name val="Carlito"/>
    </font>
    <font>
      <b/>
      <sz val="15"/>
      <color rgb="FFFFFFFF"/>
      <name val="Carlito"/>
    </font>
    <font>
      <b/>
      <sz val="11"/>
      <color rgb="FF1F4E79"/>
      <name val="Carlito"/>
    </font>
    <font>
      <sz val="11"/>
      <color rgb="FF1F2937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3F8FC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67" fontId="0" fillId="0" borderId="0" xfId="0" applyNumberFormat="1"/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9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171" fontId="0" fillId="0" borderId="0" xfId="0" applyNumberFormat="1" applyAlignment="1">
      <alignment wrapText="1"/>
    </xf>
  </cellXfs>
  <cellStyles count="1">
    <cellStyle name="Normal" xfId="0" builtinId="0"/>
  </cellStyles>
  <dxfs count="12"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  <dxf>
      <alignment horizontal="general" vertical="bottom" textRotation="0" wrapText="1" indent="0" justifyLastLine="0" shrinkToFit="0" readingOrder="0"/>
    </dxf>
    <dxf>
      <numFmt numFmtId="167" formatCode="\$#,##0"/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Daily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Daily_Sales_USD</c:v>
          </c:tx>
          <c:cat>
            <c:numRef>
              <c:f>Trend_Outliers!$A$6:$A$35</c:f>
              <c:numCache>
                <c:formatCode>yyyy\-mm\-dd</c:formatCode>
                <c:ptCount val="3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</c:numCache>
            </c:numRef>
          </c:cat>
          <c:val>
            <c:numRef>
              <c:f>Trend_Outliers!$B$6:$B$35</c:f>
              <c:numCache>
                <c:formatCode>\$#,##0</c:formatCode>
                <c:ptCount val="30"/>
                <c:pt idx="0">
                  <c:v>920</c:v>
                </c:pt>
                <c:pt idx="1">
                  <c:v>980</c:v>
                </c:pt>
                <c:pt idx="2">
                  <c:v>1010</c:v>
                </c:pt>
                <c:pt idx="3">
                  <c:v>890</c:v>
                </c:pt>
                <c:pt idx="4">
                  <c:v>940</c:v>
                </c:pt>
                <c:pt idx="5">
                  <c:v>1120</c:v>
                </c:pt>
                <c:pt idx="6">
                  <c:v>1180</c:v>
                </c:pt>
                <c:pt idx="7">
                  <c:v>970</c:v>
                </c:pt>
                <c:pt idx="8">
                  <c:v>1030</c:v>
                </c:pt>
                <c:pt idx="9">
                  <c:v>1070</c:v>
                </c:pt>
                <c:pt idx="10">
                  <c:v>990</c:v>
                </c:pt>
                <c:pt idx="11">
                  <c:v>12500</c:v>
                </c:pt>
                <c:pt idx="12">
                  <c:v>1150</c:v>
                </c:pt>
                <c:pt idx="13">
                  <c:v>1210</c:v>
                </c:pt>
                <c:pt idx="14">
                  <c:v>1080</c:v>
                </c:pt>
                <c:pt idx="15">
                  <c:v>1110</c:v>
                </c:pt>
                <c:pt idx="16">
                  <c:v>1170</c:v>
                </c:pt>
                <c:pt idx="17">
                  <c:v>1230</c:v>
                </c:pt>
                <c:pt idx="18">
                  <c:v>-300</c:v>
                </c:pt>
                <c:pt idx="19">
                  <c:v>1190</c:v>
                </c:pt>
                <c:pt idx="20">
                  <c:v>1240</c:v>
                </c:pt>
                <c:pt idx="21">
                  <c:v>1280</c:v>
                </c:pt>
                <c:pt idx="22">
                  <c:v>1310</c:v>
                </c:pt>
                <c:pt idx="23">
                  <c:v>1260</c:v>
                </c:pt>
                <c:pt idx="24">
                  <c:v>1350</c:v>
                </c:pt>
                <c:pt idx="25">
                  <c:v>1380</c:v>
                </c:pt>
                <c:pt idx="26">
                  <c:v>1400</c:v>
                </c:pt>
                <c:pt idx="27">
                  <c:v>1320</c:v>
                </c:pt>
                <c:pt idx="28">
                  <c:v>1360</c:v>
                </c:pt>
                <c:pt idx="29">
                  <c:v>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6-4A2C-BBCF-0835966AD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0:D18">
  <tableColumns count="4">
    <tableColumn id="1" xr3:uid="{00000000-0010-0000-0000-000001000000}" name="Sheet"/>
    <tableColumn id="2" xr3:uid="{00000000-0010-0000-0000-000002000000}" name="Main test"/>
    <tableColumn id="3" xr3:uid="{00000000-0010-0000-0000-000003000000}" name="Metric type"/>
    <tableColumn id="4" xr3:uid="{00000000-0010-0000-0000-000004000000}" name="Expected test/analy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mptBankTable" displayName="PromptBankTable" ref="A3:F12">
  <tableColumns count="6">
    <tableColumn id="1" xr3:uid="{00000000-0010-0000-0100-000001000000}" name="Test area"/>
    <tableColumn id="6" xr3:uid="{B2F2F633-70ED-48C3-8139-80B9300311AB}" name="Bussines Situation" dataDxfId="8"/>
    <tableColumn id="2" xr3:uid="{00000000-0010-0000-0100-000002000000}" name="Sheet to use"/>
    <tableColumn id="3" xr3:uid="{00000000-0010-0000-0100-000003000000}" name="Prompt to paste"/>
    <tableColumn id="4" xr3:uid="{00000000-0010-0000-0100-000004000000}" name="What a good answer should include"/>
    <tableColumn id="5" xr3:uid="{00000000-0010-0000-0100-000005000000}" name="Difficul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nswerKeyTable" displayName="AnswerKeyTable" ref="A3:F10">
  <tableColumns count="6">
    <tableColumn id="1" xr3:uid="{00000000-0010-0000-0700-000001000000}" name="Sheet"/>
    <tableColumn id="2" xr3:uid="{00000000-0010-0000-0700-000002000000}" name="Question type"/>
    <tableColumn id="3" xr3:uid="{00000000-0010-0000-0700-000003000000}" name="Expected method"/>
    <tableColumn id="4" xr3:uid="{00000000-0010-0000-0700-000004000000}" name="Expected conclusion"/>
    <tableColumn id="5" xr3:uid="{00000000-0010-0000-0700-000005000000}" name="Caution / what the skill should say"/>
    <tableColumn id="6" xr3:uid="{00000000-0010-0000-0700-000006000000}" name="Business interpre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scriptiveDataTable" displayName="DescriptiveDataTable" ref="A5:H35">
  <tableColumns count="8">
    <tableColumn id="1" xr3:uid="{00000000-0010-0000-0200-000001000000}" name="Customer_ID"/>
    <tableColumn id="2" xr3:uid="{00000000-0010-0000-0200-000002000000}" name="Segment"/>
    <tableColumn id="3" xr3:uid="{00000000-0010-0000-0200-000003000000}" name="Region"/>
    <tableColumn id="4" xr3:uid="{00000000-0010-0000-0200-000004000000}" name="Revenue_USD"/>
    <tableColumn id="5" xr3:uid="{00000000-0010-0000-0200-000005000000}" name="Orders"/>
    <tableColumn id="6" xr3:uid="{00000000-0010-0000-0200-000006000000}" name="Satisfaction_1_to_5"/>
    <tableColumn id="7" xr3:uid="{00000000-0010-0000-0200-000007000000}" name="Retention_Flag"/>
    <tableColumn id="8" xr3:uid="{00000000-0010-0000-0200-000008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endOutliersTable" displayName="TrendOutliersTable" ref="A5:I35">
  <tableColumns count="9">
    <tableColumn id="1" xr3:uid="{00000000-0010-0000-0300-000001000000}" name="Date"/>
    <tableColumn id="2" xr3:uid="{00000000-0010-0000-0300-000002000000}" name="Daily_Sales_USD"/>
    <tableColumn id="3" xr3:uid="{00000000-0010-0000-0300-000003000000}" name="Orders"/>
    <tableColumn id="4" xr3:uid="{00000000-0010-0000-0300-000004000000}" name="Campaign"/>
    <tableColumn id="5" xr3:uid="{00000000-0010-0000-0300-000005000000}" name="7_Day_MA"/>
    <tableColumn id="6" xr3:uid="{00000000-0010-0000-0300-000006000000}" name="Deviation_vs_MA"/>
    <tableColumn id="7" xr3:uid="{00000000-0010-0000-0300-000007000000}" name="Abs_Deviation"/>
    <tableColumn id="8" xr3:uid="{00000000-0010-0000-0300-000008000000}" name="Anomaly_Flag"/>
    <tableColumn id="9" xr3:uid="{00000000-0010-0000-0300-000009000000}" name="Analyst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dependentTData" displayName="IndependentTData" ref="A7:F38" totalsRowCount="1">
  <tableColumns count="6">
    <tableColumn id="1" xr3:uid="{00000000-0010-0000-0400-000001000000}" name="Customer_N"/>
    <tableColumn id="2" xr3:uid="{00000000-0010-0000-0400-000002000000}" name="Sales_Control_A" totalsRowFunction="custom" totalsRowDxfId="11">
      <totalsRowFormula>SUM(IndependentTData[Sales_Control_A])</totalsRowFormula>
    </tableColumn>
    <tableColumn id="6" xr3:uid="{84AAFBEE-B5B4-40EA-91F8-BAEBEC704A4C}" name="Customer name A" dataDxfId="6" totalsRowDxfId="7"/>
    <tableColumn id="3" xr3:uid="{00000000-0010-0000-0400-000003000000}" name="Sales_Variant_B" totalsRowFunction="custom" dataDxfId="10" totalsRowDxfId="9">
      <totalsRowFormula>SUM(IndependentTData[Sales_Variant_B])</totalsRowFormula>
    </tableColumn>
    <tableColumn id="7" xr3:uid="{DBE84B18-0D70-4574-98EC-51A0F904938E}" name="Customer name B" dataDxfId="0" totalsRowDxfId="1"/>
    <tableColumn id="4" xr3:uid="{00000000-0010-0000-0400-000004000000}" name="Difference_B_minus_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iredTData" displayName="PairedTData" ref="A7:D27">
  <tableColumns count="4">
    <tableColumn id="1" xr3:uid="{00000000-0010-0000-0500-000001000000}" name="Store_ID"/>
    <tableColumn id="2" xr3:uid="{00000000-0010-0000-0500-000002000000}" name="Before_Revenue"/>
    <tableColumn id="3" xr3:uid="{00000000-0010-0000-0500-000003000000}" name="After_Revenue"/>
    <tableColumn id="4" xr3:uid="{00000000-0010-0000-0500-000004000000}" name="Difference_After_minus_Bef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portionData" displayName="ProportionData" ref="A7:F9">
  <tableColumns count="6">
    <tableColumn id="1" xr3:uid="{00000000-0010-0000-0600-000001000000}" name="Variant"/>
    <tableColumn id="2" xr3:uid="{00000000-0010-0000-0600-000002000000}" name="Visitors"/>
    <tableColumn id="3" xr3:uid="{00000000-0010-0000-0600-000003000000}" name="Conversions"/>
    <tableColumn id="4" xr3:uid="{00000000-0010-0000-0600-000004000000}" name="Non_Conversions"/>
    <tableColumn id="5" xr3:uid="{00000000-0010-0000-0600-000005000000}" name="Conversion_Rate"/>
    <tableColumn id="6" xr3:uid="{00000000-0010-0000-06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EA2F22-BDAA-416E-98AD-8698300DC53E}">
  <we:reference id="wa200010215" version="2.0.0.0" store="es-E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B13" sqref="B13"/>
    </sheetView>
  </sheetViews>
  <sheetFormatPr defaultRowHeight="13.8"/>
  <cols>
    <col min="1" max="1" width="20" customWidth="1"/>
    <col min="2" max="2" width="36" customWidth="1"/>
    <col min="3" max="3" width="22" customWidth="1"/>
    <col min="4" max="4" width="45" customWidth="1"/>
  </cols>
  <sheetData>
    <row r="1" spans="1:8" ht="28.8" customHeight="1">
      <c r="A1" s="20" t="s">
        <v>0</v>
      </c>
      <c r="B1" s="21"/>
      <c r="C1" s="21"/>
      <c r="D1" s="21"/>
      <c r="E1" s="21"/>
      <c r="F1" s="21"/>
      <c r="G1" s="21"/>
      <c r="H1" s="21"/>
    </row>
    <row r="2" spans="1:8">
      <c r="A2" s="4"/>
      <c r="B2" s="4"/>
      <c r="C2" s="4"/>
      <c r="D2" s="4"/>
      <c r="E2" s="4"/>
      <c r="F2" s="4"/>
      <c r="G2" s="4"/>
      <c r="H2" s="4"/>
    </row>
    <row r="3" spans="1:8" ht="13.8" customHeight="1">
      <c r="A3" s="5" t="s">
        <v>1</v>
      </c>
      <c r="B3" s="27" t="s">
        <v>2</v>
      </c>
      <c r="C3" s="27"/>
      <c r="D3" s="27"/>
      <c r="E3" s="1"/>
      <c r="F3" s="1"/>
      <c r="G3" s="1"/>
      <c r="H3" s="1"/>
    </row>
    <row r="4" spans="1:8" ht="33.6" customHeight="1">
      <c r="A4" s="4"/>
      <c r="B4" s="27"/>
      <c r="C4" s="27"/>
      <c r="D4" s="27"/>
      <c r="E4" s="4"/>
      <c r="F4" s="4"/>
      <c r="G4" s="4"/>
      <c r="H4" s="4"/>
    </row>
    <row r="5" spans="1:8" ht="13.8" customHeight="1">
      <c r="A5" s="5" t="s">
        <v>3</v>
      </c>
      <c r="B5" s="27" t="s">
        <v>4</v>
      </c>
      <c r="C5" s="27"/>
      <c r="D5" s="27"/>
      <c r="E5" s="1"/>
      <c r="F5" s="1"/>
      <c r="G5" s="1"/>
      <c r="H5" s="1"/>
    </row>
    <row r="6" spans="1:8" ht="37.200000000000003" customHeight="1">
      <c r="A6" s="4"/>
      <c r="B6" s="27"/>
      <c r="C6" s="27"/>
      <c r="D6" s="27"/>
      <c r="E6" s="4"/>
      <c r="F6" s="4"/>
      <c r="G6" s="4"/>
      <c r="H6" s="4"/>
    </row>
    <row r="7" spans="1:8" ht="42" customHeight="1">
      <c r="A7" s="5" t="s">
        <v>5</v>
      </c>
      <c r="B7" s="28" t="s">
        <v>6</v>
      </c>
      <c r="C7" s="28"/>
      <c r="D7" s="28"/>
      <c r="E7" s="2"/>
      <c r="F7" s="2"/>
      <c r="G7" s="2"/>
      <c r="H7" s="2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3" t="s">
        <v>7</v>
      </c>
      <c r="B10" s="3" t="s">
        <v>8</v>
      </c>
      <c r="C10" s="3" t="s">
        <v>9</v>
      </c>
      <c r="D10" s="3" t="s">
        <v>10</v>
      </c>
      <c r="E10" s="4"/>
      <c r="F10" s="4"/>
      <c r="G10" s="4"/>
      <c r="H10" s="4"/>
    </row>
    <row r="11" spans="1:8">
      <c r="A11" s="4" t="s">
        <v>11</v>
      </c>
      <c r="B11" s="4" t="s">
        <v>12</v>
      </c>
      <c r="C11" s="4" t="s">
        <v>13</v>
      </c>
      <c r="D11" s="4" t="s">
        <v>14</v>
      </c>
      <c r="E11" s="4"/>
      <c r="F11" s="4"/>
      <c r="G11" s="4"/>
      <c r="H11" s="4"/>
    </row>
    <row r="12" spans="1:8" ht="27.6">
      <c r="A12" s="4" t="s">
        <v>15</v>
      </c>
      <c r="B12" s="4" t="s">
        <v>16</v>
      </c>
      <c r="C12" s="4" t="s">
        <v>17</v>
      </c>
      <c r="D12" s="4" t="s">
        <v>18</v>
      </c>
      <c r="E12" s="4"/>
      <c r="F12" s="4"/>
      <c r="G12" s="4"/>
      <c r="H12" s="4"/>
    </row>
    <row r="13" spans="1:8" ht="27.6">
      <c r="A13" s="4" t="s">
        <v>19</v>
      </c>
      <c r="B13" s="4" t="s">
        <v>20</v>
      </c>
      <c r="C13" s="4" t="s">
        <v>21</v>
      </c>
      <c r="D13" s="4" t="s">
        <v>22</v>
      </c>
      <c r="E13" s="4"/>
      <c r="F13" s="4"/>
      <c r="G13" s="4"/>
      <c r="H13" s="4"/>
    </row>
    <row r="14" spans="1:8">
      <c r="A14" s="4" t="s">
        <v>23</v>
      </c>
      <c r="B14" s="4" t="s">
        <v>24</v>
      </c>
      <c r="C14" s="4" t="s">
        <v>25</v>
      </c>
      <c r="D14" s="4" t="s">
        <v>26</v>
      </c>
      <c r="E14" s="4"/>
      <c r="F14" s="4"/>
      <c r="G14" s="4"/>
      <c r="H14" s="4"/>
    </row>
    <row r="15" spans="1:8">
      <c r="A15" s="4" t="s">
        <v>27</v>
      </c>
      <c r="B15" s="4" t="s">
        <v>28</v>
      </c>
      <c r="C15" s="4" t="s">
        <v>29</v>
      </c>
      <c r="D15" s="4" t="s">
        <v>30</v>
      </c>
      <c r="E15" s="4"/>
      <c r="F15" s="4"/>
      <c r="G15" s="4"/>
      <c r="H15" s="4"/>
    </row>
    <row r="16" spans="1:8">
      <c r="A16" s="4" t="s">
        <v>31</v>
      </c>
      <c r="B16" s="4" t="s">
        <v>32</v>
      </c>
      <c r="C16" s="4" t="s">
        <v>33</v>
      </c>
      <c r="D16" s="4" t="s">
        <v>34</v>
      </c>
      <c r="E16" s="4"/>
      <c r="F16" s="4"/>
      <c r="G16" s="4"/>
      <c r="H16" s="4"/>
    </row>
    <row r="17" spans="1:8" ht="27.6">
      <c r="A17" s="4" t="s">
        <v>35</v>
      </c>
      <c r="B17" s="4" t="s">
        <v>36</v>
      </c>
      <c r="C17" s="4" t="s">
        <v>37</v>
      </c>
      <c r="D17" s="4" t="s">
        <v>38</v>
      </c>
      <c r="E17" s="4"/>
      <c r="F17" s="4"/>
      <c r="G17" s="4"/>
      <c r="H17" s="4"/>
    </row>
    <row r="18" spans="1:8">
      <c r="A18" s="4" t="s">
        <v>39</v>
      </c>
      <c r="B18" s="4" t="s">
        <v>40</v>
      </c>
      <c r="C18" s="4" t="s">
        <v>37</v>
      </c>
      <c r="D18" s="4" t="s">
        <v>41</v>
      </c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</sheetData>
  <mergeCells count="4">
    <mergeCell ref="A1:H1"/>
    <mergeCell ref="B3:D4"/>
    <mergeCell ref="B5:D6"/>
    <mergeCell ref="B7:D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B7" sqref="B7"/>
    </sheetView>
  </sheetViews>
  <sheetFormatPr defaultRowHeight="13.8"/>
  <cols>
    <col min="1" max="3" width="22" customWidth="1"/>
    <col min="4" max="4" width="64" customWidth="1"/>
    <col min="5" max="5" width="58" customWidth="1"/>
    <col min="6" max="6" width="12" customWidth="1"/>
  </cols>
  <sheetData>
    <row r="1" spans="1:6" ht="57.6" customHeight="1">
      <c r="A1" s="20" t="s">
        <v>42</v>
      </c>
      <c r="B1" s="20"/>
      <c r="C1" s="21"/>
      <c r="D1" s="21"/>
      <c r="E1" s="21"/>
      <c r="F1" s="21"/>
    </row>
    <row r="2" spans="1:6">
      <c r="A2" s="4"/>
      <c r="B2" s="4"/>
      <c r="C2" s="4"/>
      <c r="D2" s="4"/>
      <c r="E2" s="4"/>
      <c r="F2" s="4"/>
    </row>
    <row r="3" spans="1:6">
      <c r="A3" s="3" t="s">
        <v>43</v>
      </c>
      <c r="B3" s="3" t="s">
        <v>350</v>
      </c>
      <c r="C3" s="3" t="s">
        <v>44</v>
      </c>
      <c r="D3" s="3" t="s">
        <v>45</v>
      </c>
      <c r="E3" s="3" t="s">
        <v>46</v>
      </c>
      <c r="F3" s="3" t="s">
        <v>47</v>
      </c>
    </row>
    <row r="4" spans="1:6" ht="41.4">
      <c r="A4" s="4" t="s">
        <v>48</v>
      </c>
      <c r="B4" s="4"/>
      <c r="C4" s="4" t="s">
        <v>11</v>
      </c>
      <c r="D4" s="4" t="s">
        <v>49</v>
      </c>
      <c r="E4" s="4" t="s">
        <v>50</v>
      </c>
      <c r="F4" s="4" t="s">
        <v>51</v>
      </c>
    </row>
    <row r="5" spans="1:6" ht="41.4">
      <c r="A5" s="4" t="s">
        <v>52</v>
      </c>
      <c r="B5" s="4"/>
      <c r="C5" s="4" t="s">
        <v>15</v>
      </c>
      <c r="D5" s="4" t="s">
        <v>53</v>
      </c>
      <c r="E5" s="4" t="s">
        <v>54</v>
      </c>
      <c r="F5" s="4" t="s">
        <v>51</v>
      </c>
    </row>
    <row r="6" spans="1:6" ht="27.6">
      <c r="A6" s="4" t="s">
        <v>55</v>
      </c>
      <c r="B6" s="4"/>
      <c r="C6" s="4" t="s">
        <v>19</v>
      </c>
      <c r="D6" s="4" t="s">
        <v>56</v>
      </c>
      <c r="E6" s="4" t="s">
        <v>57</v>
      </c>
      <c r="F6" s="4" t="s">
        <v>58</v>
      </c>
    </row>
    <row r="7" spans="1:6" ht="96.6">
      <c r="A7" s="4" t="s">
        <v>59</v>
      </c>
      <c r="B7" s="4" t="s">
        <v>351</v>
      </c>
      <c r="C7" s="4" t="s">
        <v>19</v>
      </c>
      <c r="D7" s="4" t="s">
        <v>60</v>
      </c>
      <c r="E7" s="4" t="s">
        <v>61</v>
      </c>
      <c r="F7" s="4" t="s">
        <v>58</v>
      </c>
    </row>
    <row r="8" spans="1:6" ht="27.6">
      <c r="A8" s="4" t="s">
        <v>62</v>
      </c>
      <c r="B8" s="4"/>
      <c r="C8" s="4" t="s">
        <v>23</v>
      </c>
      <c r="D8" s="4" t="s">
        <v>63</v>
      </c>
      <c r="E8" s="4" t="s">
        <v>64</v>
      </c>
      <c r="F8" s="4" t="s">
        <v>58</v>
      </c>
    </row>
    <row r="9" spans="1:6" ht="27.6">
      <c r="A9" s="4" t="s">
        <v>65</v>
      </c>
      <c r="B9" s="4"/>
      <c r="C9" s="4" t="s">
        <v>27</v>
      </c>
      <c r="D9" s="4" t="s">
        <v>66</v>
      </c>
      <c r="E9" s="4" t="s">
        <v>67</v>
      </c>
      <c r="F9" s="4" t="s">
        <v>58</v>
      </c>
    </row>
    <row r="10" spans="1:6" ht="27.6">
      <c r="A10" s="4" t="s">
        <v>68</v>
      </c>
      <c r="B10" s="4"/>
      <c r="C10" s="4" t="s">
        <v>31</v>
      </c>
      <c r="D10" s="4" t="s">
        <v>69</v>
      </c>
      <c r="E10" s="4" t="s">
        <v>70</v>
      </c>
      <c r="F10" s="4" t="s">
        <v>58</v>
      </c>
    </row>
    <row r="11" spans="1:6" ht="27.6">
      <c r="A11" s="4" t="s">
        <v>71</v>
      </c>
      <c r="B11" s="4"/>
      <c r="C11" s="4" t="s">
        <v>19</v>
      </c>
      <c r="D11" s="4" t="s">
        <v>72</v>
      </c>
      <c r="E11" s="4" t="s">
        <v>73</v>
      </c>
      <c r="F11" s="4" t="s">
        <v>74</v>
      </c>
    </row>
    <row r="12" spans="1:6" ht="27.6">
      <c r="A12" s="4" t="s">
        <v>75</v>
      </c>
      <c r="B12" s="4"/>
      <c r="C12" s="4" t="s">
        <v>27</v>
      </c>
      <c r="D12" s="4" t="s">
        <v>76</v>
      </c>
      <c r="E12" s="4" t="s">
        <v>77</v>
      </c>
      <c r="F12" s="4" t="s">
        <v>51</v>
      </c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sqref="A1:F1"/>
    </sheetView>
  </sheetViews>
  <sheetFormatPr defaultRowHeight="13.8"/>
  <cols>
    <col min="1" max="1" width="20" customWidth="1"/>
    <col min="2" max="2" width="24" customWidth="1"/>
    <col min="3" max="3" width="28" customWidth="1"/>
    <col min="4" max="5" width="48" customWidth="1"/>
    <col min="6" max="6" width="44" customWidth="1"/>
  </cols>
  <sheetData>
    <row r="1" spans="1:6" ht="14.4" customHeight="1">
      <c r="A1" s="24" t="s">
        <v>312</v>
      </c>
      <c r="B1" s="25"/>
      <c r="C1" s="25"/>
      <c r="D1" s="25"/>
      <c r="E1" s="25"/>
      <c r="F1" s="25"/>
    </row>
    <row r="3" spans="1:6">
      <c r="A3" s="3" t="s">
        <v>7</v>
      </c>
      <c r="B3" s="3" t="s">
        <v>313</v>
      </c>
      <c r="C3" s="3" t="s">
        <v>314</v>
      </c>
      <c r="D3" s="3" t="s">
        <v>315</v>
      </c>
      <c r="E3" s="3" t="s">
        <v>316</v>
      </c>
      <c r="F3" s="3" t="s">
        <v>317</v>
      </c>
    </row>
    <row r="4" spans="1:6" ht="41.4">
      <c r="A4" s="4" t="s">
        <v>11</v>
      </c>
      <c r="B4" s="4" t="s">
        <v>318</v>
      </c>
      <c r="C4" s="4" t="s">
        <v>319</v>
      </c>
      <c r="D4" s="4" t="s">
        <v>320</v>
      </c>
      <c r="E4" s="4" t="s">
        <v>321</v>
      </c>
      <c r="F4" s="4" t="s">
        <v>322</v>
      </c>
    </row>
    <row r="5" spans="1:6" ht="41.4">
      <c r="A5" s="4" t="s">
        <v>15</v>
      </c>
      <c r="B5" s="4" t="s">
        <v>323</v>
      </c>
      <c r="C5" s="4" t="s">
        <v>324</v>
      </c>
      <c r="D5" s="4" t="s">
        <v>325</v>
      </c>
      <c r="E5" s="4" t="s">
        <v>326</v>
      </c>
      <c r="F5" s="4" t="s">
        <v>327</v>
      </c>
    </row>
    <row r="6" spans="1:6" ht="41.4">
      <c r="A6" s="4" t="s">
        <v>19</v>
      </c>
      <c r="B6" s="4" t="s">
        <v>328</v>
      </c>
      <c r="C6" s="4" t="s">
        <v>329</v>
      </c>
      <c r="D6" s="4" t="s">
        <v>330</v>
      </c>
      <c r="E6" s="4" t="s">
        <v>331</v>
      </c>
      <c r="F6" s="4" t="s">
        <v>332</v>
      </c>
    </row>
    <row r="7" spans="1:6" ht="27.6">
      <c r="A7" s="4" t="s">
        <v>23</v>
      </c>
      <c r="B7" s="4" t="s">
        <v>24</v>
      </c>
      <c r="C7" s="4" t="s">
        <v>26</v>
      </c>
      <c r="D7" s="4" t="s">
        <v>333</v>
      </c>
      <c r="E7" s="4" t="s">
        <v>334</v>
      </c>
      <c r="F7" s="4" t="s">
        <v>335</v>
      </c>
    </row>
    <row r="8" spans="1:6" ht="27.6">
      <c r="A8" s="4" t="s">
        <v>27</v>
      </c>
      <c r="B8" s="4" t="s">
        <v>336</v>
      </c>
      <c r="C8" s="4" t="s">
        <v>337</v>
      </c>
      <c r="D8" s="4" t="s">
        <v>338</v>
      </c>
      <c r="E8" s="4" t="s">
        <v>339</v>
      </c>
      <c r="F8" s="4" t="s">
        <v>340</v>
      </c>
    </row>
    <row r="9" spans="1:6" ht="27.6">
      <c r="A9" s="4" t="s">
        <v>31</v>
      </c>
      <c r="B9" s="4" t="s">
        <v>341</v>
      </c>
      <c r="C9" s="4" t="s">
        <v>34</v>
      </c>
      <c r="D9" s="4" t="s">
        <v>342</v>
      </c>
      <c r="E9" s="4" t="s">
        <v>343</v>
      </c>
      <c r="F9" s="4" t="s">
        <v>344</v>
      </c>
    </row>
    <row r="10" spans="1:6" ht="41.4">
      <c r="A10" s="4" t="s">
        <v>39</v>
      </c>
      <c r="B10" s="4" t="s">
        <v>345</v>
      </c>
      <c r="C10" s="4" t="s">
        <v>346</v>
      </c>
      <c r="D10" s="4" t="s">
        <v>347</v>
      </c>
      <c r="E10" s="4" t="s">
        <v>348</v>
      </c>
      <c r="F10" s="4" t="s">
        <v>349</v>
      </c>
    </row>
    <row r="11" spans="1:6">
      <c r="A11" s="4"/>
      <c r="B11" s="4"/>
      <c r="C11" s="4"/>
      <c r="D11" s="4"/>
      <c r="E11" s="4"/>
      <c r="F11" s="4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>
      <selection sqref="A1:H1"/>
    </sheetView>
  </sheetViews>
  <sheetFormatPr defaultRowHeight="13.8"/>
  <cols>
    <col min="1" max="2" width="13" customWidth="1"/>
    <col min="3" max="3" width="12" customWidth="1"/>
    <col min="4" max="4" width="14" customWidth="1"/>
    <col min="5" max="5" width="9" customWidth="1"/>
    <col min="6" max="6" width="16" customWidth="1"/>
    <col min="7" max="7" width="14" customWidth="1"/>
    <col min="8" max="8" width="36" customWidth="1"/>
  </cols>
  <sheetData>
    <row r="1" spans="1:8" ht="14.4" customHeight="1">
      <c r="A1" s="24" t="s">
        <v>78</v>
      </c>
      <c r="B1" s="25"/>
      <c r="C1" s="25"/>
      <c r="D1" s="25"/>
      <c r="E1" s="25"/>
      <c r="F1" s="25"/>
      <c r="G1" s="25"/>
      <c r="H1" s="25"/>
    </row>
    <row r="3" spans="1:8" ht="27.6">
      <c r="A3" s="2" t="s">
        <v>79</v>
      </c>
      <c r="B3" s="23" t="s">
        <v>80</v>
      </c>
      <c r="C3" s="23"/>
      <c r="D3" s="23"/>
      <c r="E3" s="23"/>
      <c r="F3" s="23"/>
      <c r="G3" s="23"/>
      <c r="H3" s="23"/>
    </row>
    <row r="5" spans="1:8" ht="27.6">
      <c r="A5" s="3" t="s">
        <v>81</v>
      </c>
      <c r="B5" s="3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</row>
    <row r="6" spans="1:8">
      <c r="A6" s="4" t="s">
        <v>89</v>
      </c>
      <c r="B6" s="4" t="s">
        <v>90</v>
      </c>
      <c r="C6" s="4" t="s">
        <v>91</v>
      </c>
      <c r="D6" s="8">
        <v>520</v>
      </c>
      <c r="E6" s="4">
        <v>4</v>
      </c>
      <c r="F6" s="9">
        <v>4.0999999999999996</v>
      </c>
      <c r="G6" s="4" t="s">
        <v>92</v>
      </c>
      <c r="H6" s="4" t="s">
        <v>93</v>
      </c>
    </row>
    <row r="7" spans="1:8">
      <c r="A7" s="4" t="s">
        <v>94</v>
      </c>
      <c r="B7" s="4" t="s">
        <v>95</v>
      </c>
      <c r="C7" s="4" t="s">
        <v>96</v>
      </c>
      <c r="D7" s="8">
        <v>120</v>
      </c>
      <c r="E7" s="4">
        <v>1</v>
      </c>
      <c r="F7" s="9">
        <v>3.8</v>
      </c>
      <c r="G7" s="4" t="s">
        <v>92</v>
      </c>
      <c r="H7" s="4" t="s">
        <v>97</v>
      </c>
    </row>
    <row r="8" spans="1:8">
      <c r="A8" s="4" t="s">
        <v>98</v>
      </c>
      <c r="B8" s="4" t="s">
        <v>90</v>
      </c>
      <c r="C8" s="4" t="s">
        <v>99</v>
      </c>
      <c r="D8" s="8">
        <v>610</v>
      </c>
      <c r="E8" s="4">
        <v>5</v>
      </c>
      <c r="F8" s="9">
        <v>4.4000000000000004</v>
      </c>
      <c r="G8" s="4" t="s">
        <v>92</v>
      </c>
      <c r="H8" s="4" t="s">
        <v>93</v>
      </c>
    </row>
    <row r="9" spans="1:8">
      <c r="A9" s="4" t="s">
        <v>100</v>
      </c>
      <c r="B9" s="4" t="s">
        <v>101</v>
      </c>
      <c r="C9" s="4" t="s">
        <v>91</v>
      </c>
      <c r="D9" s="8">
        <v>4200</v>
      </c>
      <c r="E9" s="4">
        <v>13</v>
      </c>
      <c r="F9" s="9">
        <v>4.5999999999999996</v>
      </c>
      <c r="G9" s="4" t="s">
        <v>92</v>
      </c>
      <c r="H9" s="4" t="s">
        <v>102</v>
      </c>
    </row>
    <row r="10" spans="1:8">
      <c r="A10" s="4" t="s">
        <v>103</v>
      </c>
      <c r="B10" s="4" t="s">
        <v>95</v>
      </c>
      <c r="C10" s="4" t="s">
        <v>104</v>
      </c>
      <c r="D10" s="8">
        <v>95</v>
      </c>
      <c r="E10" s="4">
        <v>1</v>
      </c>
      <c r="F10" s="9">
        <v>3.2</v>
      </c>
      <c r="G10" s="4" t="s">
        <v>105</v>
      </c>
      <c r="H10" s="4" t="s">
        <v>106</v>
      </c>
    </row>
    <row r="11" spans="1:8">
      <c r="A11" s="4" t="s">
        <v>107</v>
      </c>
      <c r="B11" s="4" t="s">
        <v>90</v>
      </c>
      <c r="C11" s="4" t="s">
        <v>96</v>
      </c>
      <c r="D11" s="8">
        <v>750</v>
      </c>
      <c r="E11" s="4">
        <v>6</v>
      </c>
      <c r="F11" s="9">
        <v>4</v>
      </c>
      <c r="G11" s="4" t="s">
        <v>92</v>
      </c>
      <c r="H11" s="4" t="s">
        <v>93</v>
      </c>
    </row>
    <row r="12" spans="1:8">
      <c r="A12" s="4" t="s">
        <v>108</v>
      </c>
      <c r="B12" s="4" t="s">
        <v>101</v>
      </c>
      <c r="C12" s="4" t="s">
        <v>99</v>
      </c>
      <c r="D12" s="8">
        <v>5800</v>
      </c>
      <c r="E12" s="4">
        <v>16</v>
      </c>
      <c r="F12" s="9">
        <v>4.9000000000000004</v>
      </c>
      <c r="G12" s="4" t="s">
        <v>92</v>
      </c>
      <c r="H12" s="4" t="s">
        <v>102</v>
      </c>
    </row>
    <row r="13" spans="1:8">
      <c r="A13" s="4" t="s">
        <v>109</v>
      </c>
      <c r="B13" s="4" t="s">
        <v>95</v>
      </c>
      <c r="C13" s="4" t="s">
        <v>91</v>
      </c>
      <c r="D13" s="8">
        <v>180</v>
      </c>
      <c r="E13" s="4">
        <v>2</v>
      </c>
      <c r="F13" s="9">
        <v>3.7</v>
      </c>
      <c r="G13" s="4" t="s">
        <v>92</v>
      </c>
      <c r="H13" s="4" t="s">
        <v>93</v>
      </c>
    </row>
    <row r="14" spans="1:8">
      <c r="A14" s="4" t="s">
        <v>110</v>
      </c>
      <c r="B14" s="4" t="s">
        <v>90</v>
      </c>
      <c r="C14" s="4" t="s">
        <v>104</v>
      </c>
      <c r="D14" s="8">
        <v>680</v>
      </c>
      <c r="E14" s="4">
        <v>5</v>
      </c>
      <c r="F14" s="9">
        <v>3.9</v>
      </c>
      <c r="G14" s="4" t="s">
        <v>92</v>
      </c>
      <c r="H14" s="4" t="s">
        <v>93</v>
      </c>
    </row>
    <row r="15" spans="1:8">
      <c r="A15" s="4" t="s">
        <v>111</v>
      </c>
      <c r="B15" s="4" t="s">
        <v>95</v>
      </c>
      <c r="C15" s="4" t="s">
        <v>96</v>
      </c>
      <c r="D15" s="8">
        <v>140</v>
      </c>
      <c r="E15" s="4">
        <v>2</v>
      </c>
      <c r="F15" s="9">
        <v>2.8</v>
      </c>
      <c r="G15" s="4" t="s">
        <v>105</v>
      </c>
      <c r="H15" s="4" t="s">
        <v>112</v>
      </c>
    </row>
    <row r="16" spans="1:8">
      <c r="A16" s="4" t="s">
        <v>113</v>
      </c>
      <c r="B16" s="4" t="s">
        <v>90</v>
      </c>
      <c r="C16" s="4" t="s">
        <v>91</v>
      </c>
      <c r="D16" s="8">
        <v>790</v>
      </c>
      <c r="E16" s="4">
        <v>7</v>
      </c>
      <c r="F16" s="9">
        <v>4.2</v>
      </c>
      <c r="G16" s="4" t="s">
        <v>92</v>
      </c>
      <c r="H16" s="4" t="s">
        <v>93</v>
      </c>
    </row>
    <row r="17" spans="1:8">
      <c r="A17" s="4" t="s">
        <v>114</v>
      </c>
      <c r="B17" s="4" t="s">
        <v>101</v>
      </c>
      <c r="C17" s="4" t="s">
        <v>104</v>
      </c>
      <c r="D17" s="8">
        <v>12500</v>
      </c>
      <c r="E17" s="4">
        <v>28</v>
      </c>
      <c r="F17" s="9">
        <v>4.8</v>
      </c>
      <c r="G17" s="4" t="s">
        <v>92</v>
      </c>
      <c r="H17" s="4" t="s">
        <v>115</v>
      </c>
    </row>
    <row r="18" spans="1:8">
      <c r="A18" s="4" t="s">
        <v>116</v>
      </c>
      <c r="B18" s="4" t="s">
        <v>90</v>
      </c>
      <c r="C18" s="4" t="s">
        <v>99</v>
      </c>
      <c r="D18" s="8">
        <v>560</v>
      </c>
      <c r="E18" s="4">
        <v>4</v>
      </c>
      <c r="F18" s="9">
        <v>3.9</v>
      </c>
      <c r="G18" s="4" t="s">
        <v>92</v>
      </c>
      <c r="H18" s="4" t="s">
        <v>93</v>
      </c>
    </row>
    <row r="19" spans="1:8">
      <c r="A19" s="4" t="s">
        <v>117</v>
      </c>
      <c r="B19" s="4" t="s">
        <v>95</v>
      </c>
      <c r="C19" s="4" t="s">
        <v>104</v>
      </c>
      <c r="D19" s="8">
        <v>0</v>
      </c>
      <c r="E19" s="4">
        <v>0</v>
      </c>
      <c r="F19" s="9">
        <v>2.5</v>
      </c>
      <c r="G19" s="4" t="s">
        <v>105</v>
      </c>
      <c r="H19" s="4" t="s">
        <v>118</v>
      </c>
    </row>
    <row r="20" spans="1:8">
      <c r="A20" s="4" t="s">
        <v>119</v>
      </c>
      <c r="B20" s="4" t="s">
        <v>90</v>
      </c>
      <c r="C20" s="4" t="s">
        <v>96</v>
      </c>
      <c r="D20" s="8">
        <v>840</v>
      </c>
      <c r="E20" s="4">
        <v>8</v>
      </c>
      <c r="F20" s="9">
        <v>4.3</v>
      </c>
      <c r="G20" s="4" t="s">
        <v>92</v>
      </c>
      <c r="H20" s="4" t="s">
        <v>93</v>
      </c>
    </row>
    <row r="21" spans="1:8">
      <c r="A21" s="4" t="s">
        <v>120</v>
      </c>
      <c r="B21" s="4" t="s">
        <v>95</v>
      </c>
      <c r="C21" s="4" t="s">
        <v>91</v>
      </c>
      <c r="D21" s="8">
        <v>210</v>
      </c>
      <c r="E21" s="4">
        <v>2</v>
      </c>
      <c r="F21" s="9">
        <v>3.5</v>
      </c>
      <c r="G21" s="4" t="s">
        <v>92</v>
      </c>
      <c r="H21" s="4" t="s">
        <v>93</v>
      </c>
    </row>
    <row r="22" spans="1:8">
      <c r="A22" s="4" t="s">
        <v>121</v>
      </c>
      <c r="B22" s="4" t="s">
        <v>101</v>
      </c>
      <c r="C22" s="4" t="s">
        <v>96</v>
      </c>
      <c r="D22" s="8">
        <v>3900</v>
      </c>
      <c r="E22" s="4">
        <v>10</v>
      </c>
      <c r="F22" s="9">
        <v>4.7</v>
      </c>
      <c r="G22" s="4" t="s">
        <v>92</v>
      </c>
      <c r="H22" s="4" t="s">
        <v>102</v>
      </c>
    </row>
    <row r="23" spans="1:8">
      <c r="A23" s="4" t="s">
        <v>122</v>
      </c>
      <c r="B23" s="4" t="s">
        <v>90</v>
      </c>
      <c r="C23" s="4" t="s">
        <v>99</v>
      </c>
      <c r="D23" s="8">
        <v>720</v>
      </c>
      <c r="E23" s="4">
        <v>6</v>
      </c>
      <c r="F23" s="9">
        <v>4.0999999999999996</v>
      </c>
      <c r="G23" s="4" t="s">
        <v>92</v>
      </c>
      <c r="H23" s="4" t="s">
        <v>93</v>
      </c>
    </row>
    <row r="24" spans="1:8">
      <c r="A24" s="4" t="s">
        <v>123</v>
      </c>
      <c r="B24" s="4" t="s">
        <v>95</v>
      </c>
      <c r="C24" s="4" t="s">
        <v>99</v>
      </c>
      <c r="D24" s="8">
        <v>160</v>
      </c>
      <c r="E24" s="4">
        <v>1</v>
      </c>
      <c r="F24" s="9">
        <v>3.1</v>
      </c>
      <c r="G24" s="4" t="s">
        <v>105</v>
      </c>
      <c r="H24" s="4" t="s">
        <v>97</v>
      </c>
    </row>
    <row r="25" spans="1:8">
      <c r="A25" s="4" t="s">
        <v>124</v>
      </c>
      <c r="B25" s="4" t="s">
        <v>90</v>
      </c>
      <c r="C25" s="4" t="s">
        <v>104</v>
      </c>
      <c r="D25" s="8">
        <v>-450</v>
      </c>
      <c r="E25" s="4">
        <v>3</v>
      </c>
      <c r="F25" s="9">
        <v>4</v>
      </c>
      <c r="G25" s="4" t="s">
        <v>92</v>
      </c>
      <c r="H25" s="4" t="s">
        <v>125</v>
      </c>
    </row>
    <row r="26" spans="1:8">
      <c r="A26" s="4" t="s">
        <v>126</v>
      </c>
      <c r="B26" s="4" t="s">
        <v>101</v>
      </c>
      <c r="C26" s="4" t="s">
        <v>91</v>
      </c>
      <c r="D26" s="8">
        <v>4700</v>
      </c>
      <c r="E26" s="4">
        <v>14</v>
      </c>
      <c r="F26" s="9">
        <v>4.5</v>
      </c>
      <c r="G26" s="4" t="s">
        <v>92</v>
      </c>
      <c r="H26" s="4" t="s">
        <v>102</v>
      </c>
    </row>
    <row r="27" spans="1:8">
      <c r="A27" s="4" t="s">
        <v>127</v>
      </c>
      <c r="B27" s="4" t="s">
        <v>90</v>
      </c>
      <c r="C27" s="4" t="s">
        <v>96</v>
      </c>
      <c r="D27" s="8">
        <v>640</v>
      </c>
      <c r="E27" s="4">
        <v>5</v>
      </c>
      <c r="F27" s="9">
        <v>3.8</v>
      </c>
      <c r="G27" s="4" t="s">
        <v>92</v>
      </c>
      <c r="H27" s="4" t="s">
        <v>93</v>
      </c>
    </row>
    <row r="28" spans="1:8">
      <c r="A28" s="4" t="s">
        <v>128</v>
      </c>
      <c r="B28" s="4" t="s">
        <v>95</v>
      </c>
      <c r="C28" s="4" t="s">
        <v>104</v>
      </c>
      <c r="D28" s="8">
        <v>130</v>
      </c>
      <c r="E28" s="4">
        <v>1</v>
      </c>
      <c r="F28" s="9">
        <v>2.9</v>
      </c>
      <c r="G28" s="4" t="s">
        <v>105</v>
      </c>
      <c r="H28" s="4" t="s">
        <v>112</v>
      </c>
    </row>
    <row r="29" spans="1:8">
      <c r="A29" s="4" t="s">
        <v>129</v>
      </c>
      <c r="B29" s="4" t="s">
        <v>90</v>
      </c>
      <c r="C29" s="4" t="s">
        <v>91</v>
      </c>
      <c r="D29" s="8">
        <v>910</v>
      </c>
      <c r="E29" s="4">
        <v>8</v>
      </c>
      <c r="F29" s="9">
        <v>4.2</v>
      </c>
      <c r="G29" s="4" t="s">
        <v>92</v>
      </c>
      <c r="H29" s="4" t="s">
        <v>93</v>
      </c>
    </row>
    <row r="30" spans="1:8">
      <c r="A30" s="4" t="s">
        <v>130</v>
      </c>
      <c r="B30" s="4" t="s">
        <v>95</v>
      </c>
      <c r="C30" s="4" t="s">
        <v>99</v>
      </c>
      <c r="D30" s="8" t="s">
        <v>131</v>
      </c>
      <c r="E30" s="4">
        <v>2</v>
      </c>
      <c r="F30" s="9">
        <v>3.4</v>
      </c>
      <c r="G30" s="4" t="s">
        <v>92</v>
      </c>
      <c r="H30" s="4" t="s">
        <v>132</v>
      </c>
    </row>
    <row r="31" spans="1:8">
      <c r="A31" s="4" t="s">
        <v>133</v>
      </c>
      <c r="B31" s="4" t="s">
        <v>90</v>
      </c>
      <c r="C31" s="4" t="s">
        <v>96</v>
      </c>
      <c r="D31" s="8">
        <v>700</v>
      </c>
      <c r="E31" s="4">
        <v>6</v>
      </c>
      <c r="F31" s="9">
        <v>4</v>
      </c>
      <c r="G31" s="4" t="s">
        <v>92</v>
      </c>
      <c r="H31" s="4" t="s">
        <v>93</v>
      </c>
    </row>
    <row r="32" spans="1:8">
      <c r="A32" s="4" t="s">
        <v>134</v>
      </c>
      <c r="B32" s="4" t="s">
        <v>101</v>
      </c>
      <c r="C32" s="4" t="s">
        <v>104</v>
      </c>
      <c r="D32" s="8">
        <v>5100</v>
      </c>
      <c r="E32" s="4">
        <v>15</v>
      </c>
      <c r="F32" s="9">
        <v>4.8</v>
      </c>
      <c r="G32" s="4" t="s">
        <v>92</v>
      </c>
      <c r="H32" s="4" t="s">
        <v>102</v>
      </c>
    </row>
    <row r="33" spans="1:8">
      <c r="A33" s="4" t="s">
        <v>135</v>
      </c>
      <c r="B33" s="4" t="s">
        <v>95</v>
      </c>
      <c r="C33" s="4" t="s">
        <v>91</v>
      </c>
      <c r="D33" s="8">
        <v>175</v>
      </c>
      <c r="E33" s="4">
        <v>2</v>
      </c>
      <c r="F33" s="9">
        <v>3.6</v>
      </c>
      <c r="G33" s="4" t="s">
        <v>92</v>
      </c>
      <c r="H33" s="4" t="s">
        <v>93</v>
      </c>
    </row>
    <row r="34" spans="1:8">
      <c r="A34" s="4" t="s">
        <v>136</v>
      </c>
      <c r="B34" s="4" t="s">
        <v>90</v>
      </c>
      <c r="C34" s="4" t="s">
        <v>99</v>
      </c>
      <c r="D34" s="8">
        <v>620</v>
      </c>
      <c r="E34" s="4">
        <v>5</v>
      </c>
      <c r="F34" s="9">
        <v>3.9</v>
      </c>
      <c r="G34" s="4" t="s">
        <v>92</v>
      </c>
      <c r="H34" s="4" t="s">
        <v>93</v>
      </c>
    </row>
    <row r="35" spans="1:8">
      <c r="A35" s="4" t="s">
        <v>137</v>
      </c>
      <c r="B35" s="4" t="s">
        <v>95</v>
      </c>
      <c r="C35" s="4" t="s">
        <v>96</v>
      </c>
      <c r="D35" s="8"/>
      <c r="E35" s="4">
        <v>1</v>
      </c>
      <c r="F35" s="9">
        <v>3</v>
      </c>
      <c r="G35" s="4" t="s">
        <v>105</v>
      </c>
      <c r="H35" s="4" t="s">
        <v>138</v>
      </c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 ht="41.4">
      <c r="A39" s="3" t="s">
        <v>139</v>
      </c>
      <c r="B39" s="3" t="s">
        <v>140</v>
      </c>
      <c r="C39" s="3" t="s">
        <v>141</v>
      </c>
      <c r="D39" s="3" t="s">
        <v>142</v>
      </c>
      <c r="E39" s="4"/>
      <c r="F39" s="4"/>
      <c r="G39" s="4"/>
      <c r="H39" s="4"/>
    </row>
    <row r="40" spans="1:8" ht="27.6">
      <c r="A40" s="4" t="s">
        <v>143</v>
      </c>
      <c r="B40" s="10" t="s">
        <v>144</v>
      </c>
      <c r="C40" s="8">
        <f>COUNT(D6:D35)</f>
        <v>28</v>
      </c>
      <c r="D40" s="4" t="s">
        <v>145</v>
      </c>
      <c r="E40" s="4"/>
      <c r="F40" s="4"/>
      <c r="G40" s="4"/>
      <c r="H40" s="4"/>
    </row>
    <row r="41" spans="1:8" ht="27.6">
      <c r="A41" s="4" t="s">
        <v>146</v>
      </c>
      <c r="B41" s="10" t="s">
        <v>147</v>
      </c>
      <c r="C41" s="8">
        <f>COUNTA(A6:A35)</f>
        <v>30</v>
      </c>
      <c r="D41" s="4" t="s">
        <v>148</v>
      </c>
      <c r="E41" s="4"/>
      <c r="F41" s="4"/>
      <c r="G41" s="4"/>
      <c r="H41" s="4"/>
    </row>
    <row r="42" spans="1:8" ht="27.6">
      <c r="A42" s="4" t="s">
        <v>149</v>
      </c>
      <c r="B42" s="10" t="s">
        <v>150</v>
      </c>
      <c r="C42" s="8">
        <f>AVERAGE(D6:D35)</f>
        <v>1617.8571428571429</v>
      </c>
      <c r="D42" s="4" t="s">
        <v>151</v>
      </c>
      <c r="E42" s="4"/>
      <c r="F42" s="4"/>
      <c r="G42" s="4"/>
      <c r="H42" s="4"/>
    </row>
    <row r="43" spans="1:8" ht="27.6">
      <c r="A43" s="4" t="s">
        <v>152</v>
      </c>
      <c r="B43" s="10" t="s">
        <v>153</v>
      </c>
      <c r="C43" s="8">
        <f>MEDIAN(D6:D35)</f>
        <v>630</v>
      </c>
      <c r="D43" s="4" t="s">
        <v>154</v>
      </c>
      <c r="E43" s="4"/>
      <c r="F43" s="4"/>
      <c r="G43" s="4"/>
      <c r="H43" s="4"/>
    </row>
    <row r="44" spans="1:8" ht="27.6">
      <c r="A44" s="4" t="s">
        <v>155</v>
      </c>
      <c r="B44" s="10" t="s">
        <v>156</v>
      </c>
      <c r="C44" s="8" t="e">
        <f ca="1">_xludf.STDEV.S(D6:D35)</f>
        <v>#NAME?</v>
      </c>
      <c r="D44" s="4" t="s">
        <v>157</v>
      </c>
      <c r="E44" s="4"/>
      <c r="F44" s="4"/>
      <c r="G44" s="4"/>
      <c r="H44" s="4"/>
    </row>
    <row r="45" spans="1:8" ht="27.6">
      <c r="A45" s="4" t="s">
        <v>158</v>
      </c>
      <c r="B45" s="10" t="s">
        <v>159</v>
      </c>
      <c r="C45" s="8" t="e">
        <f ca="1">_xludf.QUARTILE.INC(D6:D35,1)</f>
        <v>#NAME?</v>
      </c>
      <c r="D45" s="4" t="s">
        <v>160</v>
      </c>
      <c r="E45" s="4"/>
      <c r="F45" s="4"/>
      <c r="G45" s="4"/>
      <c r="H45" s="4"/>
    </row>
    <row r="46" spans="1:8" ht="27.6">
      <c r="A46" s="4" t="s">
        <v>161</v>
      </c>
      <c r="B46" s="10" t="s">
        <v>162</v>
      </c>
      <c r="C46" s="8" t="e">
        <f ca="1">_xludf.QUARTILE.INC(D6:D35,3)</f>
        <v>#NAME?</v>
      </c>
      <c r="D46" s="4" t="s">
        <v>163</v>
      </c>
      <c r="E46" s="4"/>
      <c r="F46" s="4"/>
      <c r="G46" s="4"/>
      <c r="H46" s="4"/>
    </row>
    <row r="47" spans="1:8">
      <c r="A47" s="4" t="s">
        <v>164</v>
      </c>
      <c r="B47" s="10" t="s">
        <v>165</v>
      </c>
      <c r="C47" s="8" t="e">
        <f ca="1">C46-C45</f>
        <v>#NAME?</v>
      </c>
      <c r="D47" s="4" t="s">
        <v>166</v>
      </c>
      <c r="E47" s="4"/>
      <c r="F47" s="4"/>
      <c r="G47" s="4"/>
      <c r="H47" s="4"/>
    </row>
    <row r="48" spans="1:8" ht="41.4">
      <c r="A48" s="4" t="s">
        <v>167</v>
      </c>
      <c r="B48" s="10" t="s">
        <v>168</v>
      </c>
      <c r="C48" s="8" t="e">
        <f ca="1">_xludf.PERCENTILE.INC(D6:D35,0.9)</f>
        <v>#NAME?</v>
      </c>
      <c r="D48" s="4" t="s">
        <v>169</v>
      </c>
      <c r="E48" s="4"/>
      <c r="F48" s="4"/>
      <c r="G48" s="4"/>
      <c r="H48" s="4"/>
    </row>
    <row r="49" spans="1:4">
      <c r="A49" t="s">
        <v>170</v>
      </c>
      <c r="B49" s="6" t="s">
        <v>171</v>
      </c>
      <c r="C49" s="7">
        <f>COUNTIF(D6:D35,"&lt;0")</f>
        <v>1</v>
      </c>
      <c r="D49" t="s">
        <v>172</v>
      </c>
    </row>
  </sheetData>
  <mergeCells count="2">
    <mergeCell ref="A1:H1"/>
    <mergeCell ref="B3:H3"/>
  </mergeCells>
  <conditionalFormatting sqref="D6:D35">
    <cfRule type="cellIs" dxfId="5" priority="1" operator="lessThan">
      <formula>0</formula>
    </cfRule>
    <cfRule type="cellIs" dxfId="4" priority="2" operator="greaterThan">
      <formula>3000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3.8"/>
  <cols>
    <col min="1" max="1" width="13" customWidth="1"/>
    <col min="2" max="2" width="15" customWidth="1"/>
    <col min="3" max="3" width="9" customWidth="1"/>
    <col min="4" max="4" width="16" customWidth="1"/>
    <col min="5" max="5" width="13" customWidth="1"/>
    <col min="6" max="7" width="15" customWidth="1"/>
    <col min="8" max="8" width="13" customWidth="1"/>
    <col min="9" max="9" width="24" customWidth="1"/>
  </cols>
  <sheetData>
    <row r="1" spans="1:9" ht="14.4" customHeight="1">
      <c r="A1" s="24" t="s">
        <v>173</v>
      </c>
      <c r="B1" s="25"/>
      <c r="C1" s="25"/>
      <c r="D1" s="25"/>
      <c r="E1" s="25"/>
      <c r="F1" s="25"/>
      <c r="G1" s="25"/>
      <c r="H1" s="25"/>
      <c r="I1" s="25"/>
    </row>
    <row r="3" spans="1:9" ht="27.6">
      <c r="A3" s="2" t="s">
        <v>79</v>
      </c>
      <c r="B3" s="23" t="s">
        <v>174</v>
      </c>
      <c r="C3" s="23"/>
      <c r="D3" s="23"/>
      <c r="E3" s="23"/>
      <c r="F3" s="23"/>
      <c r="G3" s="23"/>
      <c r="H3" s="23"/>
      <c r="I3" s="23"/>
    </row>
    <row r="5" spans="1:9" ht="27.6">
      <c r="A5" s="3" t="s">
        <v>175</v>
      </c>
      <c r="B5" s="3" t="s">
        <v>176</v>
      </c>
      <c r="C5" s="3" t="s">
        <v>85</v>
      </c>
      <c r="D5" s="3" t="s">
        <v>177</v>
      </c>
      <c r="E5" s="3" t="s">
        <v>178</v>
      </c>
      <c r="F5" s="3" t="s">
        <v>179</v>
      </c>
      <c r="G5" s="3" t="s">
        <v>180</v>
      </c>
      <c r="H5" s="3" t="s">
        <v>181</v>
      </c>
      <c r="I5" s="3" t="s">
        <v>182</v>
      </c>
    </row>
    <row r="6" spans="1:9">
      <c r="A6" s="12">
        <v>46023</v>
      </c>
      <c r="B6" s="13">
        <v>920</v>
      </c>
      <c r="C6" s="4">
        <v>46</v>
      </c>
      <c r="D6" s="4" t="s">
        <v>183</v>
      </c>
      <c r="E6" s="13">
        <f>AVERAGE(B6:B6)</f>
        <v>920</v>
      </c>
      <c r="F6" s="13">
        <f t="shared" ref="F6:F35" si="0">B6-E6</f>
        <v>0</v>
      </c>
      <c r="G6" s="13">
        <f t="shared" ref="G6:G35" si="1">ABS(F6)</f>
        <v>0</v>
      </c>
      <c r="H6" s="4" t="str">
        <f t="shared" ref="H6:H11" si="2">"Too early"</f>
        <v>Too early</v>
      </c>
      <c r="I6" s="4"/>
    </row>
    <row r="7" spans="1:9">
      <c r="A7" s="12">
        <v>46024</v>
      </c>
      <c r="B7" s="13">
        <v>980</v>
      </c>
      <c r="C7" s="4">
        <v>49</v>
      </c>
      <c r="D7" s="4" t="s">
        <v>183</v>
      </c>
      <c r="E7" s="13">
        <f>AVERAGE(B6:B7)</f>
        <v>950</v>
      </c>
      <c r="F7" s="13">
        <f t="shared" si="0"/>
        <v>30</v>
      </c>
      <c r="G7" s="13">
        <f t="shared" si="1"/>
        <v>30</v>
      </c>
      <c r="H7" s="4" t="str">
        <f t="shared" si="2"/>
        <v>Too early</v>
      </c>
      <c r="I7" s="4"/>
    </row>
    <row r="8" spans="1:9">
      <c r="A8" s="12">
        <v>46025</v>
      </c>
      <c r="B8" s="13">
        <v>1010</v>
      </c>
      <c r="C8" s="4">
        <v>51</v>
      </c>
      <c r="D8" s="4" t="s">
        <v>183</v>
      </c>
      <c r="E8" s="13">
        <f>AVERAGE(B6:B8)</f>
        <v>970</v>
      </c>
      <c r="F8" s="13">
        <f t="shared" si="0"/>
        <v>40</v>
      </c>
      <c r="G8" s="13">
        <f t="shared" si="1"/>
        <v>40</v>
      </c>
      <c r="H8" s="4" t="str">
        <f t="shared" si="2"/>
        <v>Too early</v>
      </c>
      <c r="I8" s="4"/>
    </row>
    <row r="9" spans="1:9">
      <c r="A9" s="12">
        <v>46026</v>
      </c>
      <c r="B9" s="13">
        <v>890</v>
      </c>
      <c r="C9" s="4">
        <v>44</v>
      </c>
      <c r="D9" s="4" t="s">
        <v>183</v>
      </c>
      <c r="E9" s="13">
        <f>AVERAGE(B6:B9)</f>
        <v>950</v>
      </c>
      <c r="F9" s="13">
        <f t="shared" si="0"/>
        <v>-60</v>
      </c>
      <c r="G9" s="13">
        <f t="shared" si="1"/>
        <v>60</v>
      </c>
      <c r="H9" s="4" t="str">
        <f t="shared" si="2"/>
        <v>Too early</v>
      </c>
      <c r="I9" s="4"/>
    </row>
    <row r="10" spans="1:9">
      <c r="A10" s="12">
        <v>46027</v>
      </c>
      <c r="B10" s="13">
        <v>940</v>
      </c>
      <c r="C10" s="4">
        <v>47</v>
      </c>
      <c r="D10" s="4" t="s">
        <v>183</v>
      </c>
      <c r="E10" s="13">
        <f>AVERAGE(B6:B10)</f>
        <v>948</v>
      </c>
      <c r="F10" s="13">
        <f t="shared" si="0"/>
        <v>-8</v>
      </c>
      <c r="G10" s="13">
        <f t="shared" si="1"/>
        <v>8</v>
      </c>
      <c r="H10" s="4" t="str">
        <f t="shared" si="2"/>
        <v>Too early</v>
      </c>
      <c r="I10" s="4"/>
    </row>
    <row r="11" spans="1:9">
      <c r="A11" s="12">
        <v>46028</v>
      </c>
      <c r="B11" s="13">
        <v>1120</v>
      </c>
      <c r="C11" s="4">
        <v>56</v>
      </c>
      <c r="D11" s="4" t="s">
        <v>183</v>
      </c>
      <c r="E11" s="13">
        <f>AVERAGE(B6:B11)</f>
        <v>976.66666666666663</v>
      </c>
      <c r="F11" s="13">
        <f t="shared" si="0"/>
        <v>143.33333333333337</v>
      </c>
      <c r="G11" s="13">
        <f t="shared" si="1"/>
        <v>143.33333333333337</v>
      </c>
      <c r="H11" s="4" t="str">
        <f t="shared" si="2"/>
        <v>Too early</v>
      </c>
      <c r="I11" s="4"/>
    </row>
    <row r="12" spans="1:9">
      <c r="A12" s="12">
        <v>46029</v>
      </c>
      <c r="B12" s="13">
        <v>1180</v>
      </c>
      <c r="C12" s="4">
        <v>59</v>
      </c>
      <c r="D12" s="4" t="s">
        <v>183</v>
      </c>
      <c r="E12" s="13">
        <f t="shared" ref="E12:E35" si="3">AVERAGE(B6:B12)</f>
        <v>1005.7142857142857</v>
      </c>
      <c r="F12" s="13">
        <f t="shared" si="0"/>
        <v>174.28571428571433</v>
      </c>
      <c r="G12" s="13">
        <f t="shared" si="1"/>
        <v>174.28571428571433</v>
      </c>
      <c r="H12" s="4" t="e">
        <f ca="1">IF(G12&gt;2.5*_xludf.STDEV.S($F$12:F12),"Review","Normal")</f>
        <v>#NAME?</v>
      </c>
      <c r="I12" s="4"/>
    </row>
    <row r="13" spans="1:9">
      <c r="A13" s="12">
        <v>46030</v>
      </c>
      <c r="B13" s="13">
        <v>970</v>
      </c>
      <c r="C13" s="4">
        <v>48</v>
      </c>
      <c r="D13" s="4" t="s">
        <v>183</v>
      </c>
      <c r="E13" s="13">
        <f t="shared" si="3"/>
        <v>1012.8571428571429</v>
      </c>
      <c r="F13" s="13">
        <f t="shared" si="0"/>
        <v>-42.85714285714289</v>
      </c>
      <c r="G13" s="13">
        <f t="shared" si="1"/>
        <v>42.85714285714289</v>
      </c>
      <c r="H13" s="4" t="e">
        <f ca="1">IF(G13&gt;2.5*_xludf.STDEV.S($F$12:F13),"Review","Normal")</f>
        <v>#NAME?</v>
      </c>
      <c r="I13" s="4"/>
    </row>
    <row r="14" spans="1:9">
      <c r="A14" s="12">
        <v>46031</v>
      </c>
      <c r="B14" s="13">
        <v>1030</v>
      </c>
      <c r="C14" s="4">
        <v>52</v>
      </c>
      <c r="D14" s="4" t="s">
        <v>183</v>
      </c>
      <c r="E14" s="13">
        <f t="shared" si="3"/>
        <v>1020</v>
      </c>
      <c r="F14" s="13">
        <f t="shared" si="0"/>
        <v>10</v>
      </c>
      <c r="G14" s="13">
        <f t="shared" si="1"/>
        <v>10</v>
      </c>
      <c r="H14" s="4" t="e">
        <f ca="1">IF(G14&gt;2.5*_xludf.STDEV.S($F$12:F14),"Review","Normal")</f>
        <v>#NAME?</v>
      </c>
      <c r="I14" s="4"/>
    </row>
    <row r="15" spans="1:9">
      <c r="A15" s="12">
        <v>46032</v>
      </c>
      <c r="B15" s="13">
        <v>1070</v>
      </c>
      <c r="C15" s="4">
        <v>54</v>
      </c>
      <c r="D15" s="4" t="s">
        <v>183</v>
      </c>
      <c r="E15" s="13">
        <f t="shared" si="3"/>
        <v>1028.5714285714287</v>
      </c>
      <c r="F15" s="13">
        <f t="shared" si="0"/>
        <v>41.428571428571331</v>
      </c>
      <c r="G15" s="13">
        <f t="shared" si="1"/>
        <v>41.428571428571331</v>
      </c>
      <c r="H15" s="4" t="e">
        <f ca="1">IF(G15&gt;2.5*_xludf.STDEV.S($F$12:F15),"Review","Normal")</f>
        <v>#NAME?</v>
      </c>
      <c r="I15" s="4"/>
    </row>
    <row r="16" spans="1:9">
      <c r="A16" s="12">
        <v>46033</v>
      </c>
      <c r="B16" s="13">
        <v>990</v>
      </c>
      <c r="C16" s="4">
        <v>50</v>
      </c>
      <c r="D16" s="4" t="s">
        <v>183</v>
      </c>
      <c r="E16" s="13">
        <f t="shared" si="3"/>
        <v>1042.8571428571429</v>
      </c>
      <c r="F16" s="13">
        <f t="shared" si="0"/>
        <v>-52.85714285714289</v>
      </c>
      <c r="G16" s="13">
        <f t="shared" si="1"/>
        <v>52.85714285714289</v>
      </c>
      <c r="H16" s="4" t="e">
        <f ca="1">IF(G16&gt;2.5*_xludf.STDEV.S($F$12:F16),"Review","Normal")</f>
        <v>#NAME?</v>
      </c>
      <c r="I16" s="4"/>
    </row>
    <row r="17" spans="1:9">
      <c r="A17" s="12">
        <v>46034</v>
      </c>
      <c r="B17" s="13">
        <v>12500</v>
      </c>
      <c r="C17" s="4">
        <v>310</v>
      </c>
      <c r="D17" s="4" t="s">
        <v>184</v>
      </c>
      <c r="E17" s="13">
        <f t="shared" si="3"/>
        <v>2694.2857142857142</v>
      </c>
      <c r="F17" s="13">
        <f t="shared" si="0"/>
        <v>9805.7142857142862</v>
      </c>
      <c r="G17" s="13">
        <f t="shared" si="1"/>
        <v>9805.7142857142862</v>
      </c>
      <c r="H17" s="4" t="e">
        <f ca="1">IF(G17&gt;2.5*_xludf.STDEV.S($F$12:F17),"Review","Normal")</f>
        <v>#NAME?</v>
      </c>
      <c r="I17" s="4" t="s">
        <v>185</v>
      </c>
    </row>
    <row r="18" spans="1:9">
      <c r="A18" s="12">
        <v>46035</v>
      </c>
      <c r="B18" s="13">
        <v>1150</v>
      </c>
      <c r="C18" s="4">
        <v>58</v>
      </c>
      <c r="D18" s="4" t="s">
        <v>183</v>
      </c>
      <c r="E18" s="13">
        <f t="shared" si="3"/>
        <v>2698.5714285714284</v>
      </c>
      <c r="F18" s="13">
        <f t="shared" si="0"/>
        <v>-1548.5714285714284</v>
      </c>
      <c r="G18" s="13">
        <f t="shared" si="1"/>
        <v>1548.5714285714284</v>
      </c>
      <c r="H18" s="4" t="e">
        <f ca="1">IF(G18&gt;2.5*_xludf.STDEV.S($F$12:F18),"Review","Normal")</f>
        <v>#NAME?</v>
      </c>
      <c r="I18" s="4"/>
    </row>
    <row r="19" spans="1:9">
      <c r="A19" s="12">
        <v>46036</v>
      </c>
      <c r="B19" s="13">
        <v>1210</v>
      </c>
      <c r="C19" s="4">
        <v>61</v>
      </c>
      <c r="D19" s="4" t="s">
        <v>183</v>
      </c>
      <c r="E19" s="13">
        <f t="shared" si="3"/>
        <v>2702.8571428571427</v>
      </c>
      <c r="F19" s="13">
        <f t="shared" si="0"/>
        <v>-1492.8571428571427</v>
      </c>
      <c r="G19" s="13">
        <f t="shared" si="1"/>
        <v>1492.8571428571427</v>
      </c>
      <c r="H19" s="4" t="e">
        <f ca="1">IF(G19&gt;2.5*_xludf.STDEV.S($F$12:F19),"Review","Normal")</f>
        <v>#NAME?</v>
      </c>
      <c r="I19" s="4"/>
    </row>
    <row r="20" spans="1:9">
      <c r="A20" s="12">
        <v>46037</v>
      </c>
      <c r="B20" s="13">
        <v>1080</v>
      </c>
      <c r="C20" s="4">
        <v>54</v>
      </c>
      <c r="D20" s="4" t="s">
        <v>183</v>
      </c>
      <c r="E20" s="13">
        <f t="shared" si="3"/>
        <v>2718.5714285714284</v>
      </c>
      <c r="F20" s="13">
        <f t="shared" si="0"/>
        <v>-1638.5714285714284</v>
      </c>
      <c r="G20" s="13">
        <f t="shared" si="1"/>
        <v>1638.5714285714284</v>
      </c>
      <c r="H20" s="4" t="e">
        <f ca="1">IF(G20&gt;2.5*_xludf.STDEV.S($F$12:F20),"Review","Normal")</f>
        <v>#NAME?</v>
      </c>
      <c r="I20" s="4"/>
    </row>
    <row r="21" spans="1:9">
      <c r="A21" s="12">
        <v>46038</v>
      </c>
      <c r="B21" s="13">
        <v>1110</v>
      </c>
      <c r="C21" s="4">
        <v>56</v>
      </c>
      <c r="D21" s="4" t="s">
        <v>183</v>
      </c>
      <c r="E21" s="13">
        <f t="shared" si="3"/>
        <v>2730</v>
      </c>
      <c r="F21" s="13">
        <f t="shared" si="0"/>
        <v>-1620</v>
      </c>
      <c r="G21" s="13">
        <f t="shared" si="1"/>
        <v>1620</v>
      </c>
      <c r="H21" s="4" t="e">
        <f ca="1">IF(G21&gt;2.5*_xludf.STDEV.S($F$12:F21),"Review","Normal")</f>
        <v>#NAME?</v>
      </c>
      <c r="I21" s="4"/>
    </row>
    <row r="22" spans="1:9">
      <c r="A22" s="12">
        <v>46039</v>
      </c>
      <c r="B22" s="13">
        <v>1170</v>
      </c>
      <c r="C22" s="4">
        <v>59</v>
      </c>
      <c r="D22" s="4" t="s">
        <v>183</v>
      </c>
      <c r="E22" s="13">
        <f t="shared" si="3"/>
        <v>2744.2857142857142</v>
      </c>
      <c r="F22" s="13">
        <f t="shared" si="0"/>
        <v>-1574.2857142857142</v>
      </c>
      <c r="G22" s="13">
        <f t="shared" si="1"/>
        <v>1574.2857142857142</v>
      </c>
      <c r="H22" s="4" t="e">
        <f ca="1">IF(G22&gt;2.5*_xludf.STDEV.S($F$12:F22),"Review","Normal")</f>
        <v>#NAME?</v>
      </c>
      <c r="I22" s="4"/>
    </row>
    <row r="23" spans="1:9">
      <c r="A23" s="12">
        <v>46040</v>
      </c>
      <c r="B23" s="13">
        <v>1230</v>
      </c>
      <c r="C23" s="4">
        <v>62</v>
      </c>
      <c r="D23" s="4" t="s">
        <v>183</v>
      </c>
      <c r="E23" s="13">
        <f t="shared" si="3"/>
        <v>2778.5714285714284</v>
      </c>
      <c r="F23" s="13">
        <f t="shared" si="0"/>
        <v>-1548.5714285714284</v>
      </c>
      <c r="G23" s="13">
        <f t="shared" si="1"/>
        <v>1548.5714285714284</v>
      </c>
      <c r="H23" s="4" t="e">
        <f ca="1">IF(G23&gt;2.5*_xludf.STDEV.S($F$12:F23),"Review","Normal")</f>
        <v>#NAME?</v>
      </c>
      <c r="I23" s="4"/>
    </row>
    <row r="24" spans="1:9">
      <c r="A24" s="12">
        <v>46041</v>
      </c>
      <c r="B24" s="13">
        <v>-300</v>
      </c>
      <c r="C24" s="4">
        <v>15</v>
      </c>
      <c r="D24" s="4" t="s">
        <v>183</v>
      </c>
      <c r="E24" s="13">
        <f t="shared" si="3"/>
        <v>950</v>
      </c>
      <c r="F24" s="13">
        <f t="shared" si="0"/>
        <v>-1250</v>
      </c>
      <c r="G24" s="13">
        <f t="shared" si="1"/>
        <v>1250</v>
      </c>
      <c r="H24" s="4" t="e">
        <f ca="1">IF(G24&gt;2.5*_xludf.STDEV.S($F$12:F24),"Review","Normal")</f>
        <v>#NAME?</v>
      </c>
      <c r="I24" s="4" t="s">
        <v>186</v>
      </c>
    </row>
    <row r="25" spans="1:9">
      <c r="A25" s="12">
        <v>46042</v>
      </c>
      <c r="B25" s="13">
        <v>1190</v>
      </c>
      <c r="C25" s="4">
        <v>60</v>
      </c>
      <c r="D25" s="4" t="s">
        <v>183</v>
      </c>
      <c r="E25" s="13">
        <f t="shared" si="3"/>
        <v>955.71428571428567</v>
      </c>
      <c r="F25" s="13">
        <f t="shared" si="0"/>
        <v>234.28571428571433</v>
      </c>
      <c r="G25" s="13">
        <f t="shared" si="1"/>
        <v>234.28571428571433</v>
      </c>
      <c r="H25" s="4" t="e">
        <f ca="1">IF(G25&gt;2.5*_xludf.STDEV.S($F$12:F25),"Review","Normal")</f>
        <v>#NAME?</v>
      </c>
      <c r="I25" s="4"/>
    </row>
    <row r="26" spans="1:9">
      <c r="A26" s="12">
        <v>46043</v>
      </c>
      <c r="B26" s="13">
        <v>1240</v>
      </c>
      <c r="C26" s="4">
        <v>63</v>
      </c>
      <c r="D26" s="4" t="s">
        <v>183</v>
      </c>
      <c r="E26" s="13">
        <f t="shared" si="3"/>
        <v>960</v>
      </c>
      <c r="F26" s="13">
        <f t="shared" si="0"/>
        <v>280</v>
      </c>
      <c r="G26" s="13">
        <f t="shared" si="1"/>
        <v>280</v>
      </c>
      <c r="H26" s="4" t="e">
        <f ca="1">IF(G26&gt;2.5*_xludf.STDEV.S($F$12:F26),"Review","Normal")</f>
        <v>#NAME?</v>
      </c>
      <c r="I26" s="4"/>
    </row>
    <row r="27" spans="1:9">
      <c r="A27" s="12">
        <v>46044</v>
      </c>
      <c r="B27" s="13">
        <v>1280</v>
      </c>
      <c r="C27" s="4">
        <v>64</v>
      </c>
      <c r="D27" s="4" t="s">
        <v>183</v>
      </c>
      <c r="E27" s="13">
        <f t="shared" si="3"/>
        <v>988.57142857142856</v>
      </c>
      <c r="F27" s="13">
        <f t="shared" si="0"/>
        <v>291.42857142857144</v>
      </c>
      <c r="G27" s="13">
        <f t="shared" si="1"/>
        <v>291.42857142857144</v>
      </c>
      <c r="H27" s="4" t="e">
        <f ca="1">IF(G27&gt;2.5*_xludf.STDEV.S($F$12:F27),"Review","Normal")</f>
        <v>#NAME?</v>
      </c>
      <c r="I27" s="4"/>
    </row>
    <row r="28" spans="1:9">
      <c r="A28" s="12">
        <v>46045</v>
      </c>
      <c r="B28" s="13">
        <v>1310</v>
      </c>
      <c r="C28" s="4">
        <v>66</v>
      </c>
      <c r="D28" s="4" t="s">
        <v>183</v>
      </c>
      <c r="E28" s="13">
        <f t="shared" si="3"/>
        <v>1017.1428571428571</v>
      </c>
      <c r="F28" s="13">
        <f t="shared" si="0"/>
        <v>292.85714285714289</v>
      </c>
      <c r="G28" s="13">
        <f t="shared" si="1"/>
        <v>292.85714285714289</v>
      </c>
      <c r="H28" s="4" t="e">
        <f ca="1">IF(G28&gt;2.5*_xludf.STDEV.S($F$12:F28),"Review","Normal")</f>
        <v>#NAME?</v>
      </c>
      <c r="I28" s="4"/>
    </row>
    <row r="29" spans="1:9">
      <c r="A29" s="12">
        <v>46046</v>
      </c>
      <c r="B29" s="13">
        <v>1260</v>
      </c>
      <c r="C29" s="4">
        <v>63</v>
      </c>
      <c r="D29" s="4" t="s">
        <v>183</v>
      </c>
      <c r="E29" s="13">
        <f t="shared" si="3"/>
        <v>1030</v>
      </c>
      <c r="F29" s="13">
        <f t="shared" si="0"/>
        <v>230</v>
      </c>
      <c r="G29" s="13">
        <f t="shared" si="1"/>
        <v>230</v>
      </c>
      <c r="H29" s="4" t="e">
        <f ca="1">IF(G29&gt;2.5*_xludf.STDEV.S($F$12:F29),"Review","Normal")</f>
        <v>#NAME?</v>
      </c>
      <c r="I29" s="4"/>
    </row>
    <row r="30" spans="1:9">
      <c r="A30" s="12">
        <v>46047</v>
      </c>
      <c r="B30" s="13">
        <v>1350</v>
      </c>
      <c r="C30" s="4">
        <v>67</v>
      </c>
      <c r="D30" s="4" t="s">
        <v>183</v>
      </c>
      <c r="E30" s="13">
        <f t="shared" si="3"/>
        <v>1047.1428571428571</v>
      </c>
      <c r="F30" s="13">
        <f t="shared" si="0"/>
        <v>302.85714285714289</v>
      </c>
      <c r="G30" s="13">
        <f t="shared" si="1"/>
        <v>302.85714285714289</v>
      </c>
      <c r="H30" s="4" t="e">
        <f ca="1">IF(G30&gt;2.5*_xludf.STDEV.S($F$12:F30),"Review","Normal")</f>
        <v>#NAME?</v>
      </c>
      <c r="I30" s="4"/>
    </row>
    <row r="31" spans="1:9">
      <c r="A31" s="12">
        <v>46048</v>
      </c>
      <c r="B31" s="13">
        <v>1380</v>
      </c>
      <c r="C31" s="4">
        <v>69</v>
      </c>
      <c r="D31" s="4" t="s">
        <v>183</v>
      </c>
      <c r="E31" s="13">
        <f t="shared" si="3"/>
        <v>1287.1428571428571</v>
      </c>
      <c r="F31" s="13">
        <f t="shared" si="0"/>
        <v>92.85714285714289</v>
      </c>
      <c r="G31" s="13">
        <f t="shared" si="1"/>
        <v>92.85714285714289</v>
      </c>
      <c r="H31" s="4" t="e">
        <f ca="1">IF(G31&gt;2.5*_xludf.STDEV.S($F$12:F31),"Review","Normal")</f>
        <v>#NAME?</v>
      </c>
      <c r="I31" s="4"/>
    </row>
    <row r="32" spans="1:9">
      <c r="A32" s="12">
        <v>46049</v>
      </c>
      <c r="B32" s="13">
        <v>1400</v>
      </c>
      <c r="C32" s="4">
        <v>70</v>
      </c>
      <c r="D32" s="4" t="s">
        <v>183</v>
      </c>
      <c r="E32" s="13">
        <f t="shared" si="3"/>
        <v>1317.1428571428571</v>
      </c>
      <c r="F32" s="13">
        <f t="shared" si="0"/>
        <v>82.85714285714289</v>
      </c>
      <c r="G32" s="13">
        <f t="shared" si="1"/>
        <v>82.85714285714289</v>
      </c>
      <c r="H32" s="4" t="e">
        <f ca="1">IF(G32&gt;2.5*_xludf.STDEV.S($F$12:F32),"Review","Normal")</f>
        <v>#NAME?</v>
      </c>
      <c r="I32" s="4"/>
    </row>
    <row r="33" spans="1:9">
      <c r="A33" s="12">
        <v>46050</v>
      </c>
      <c r="B33" s="13">
        <v>1320</v>
      </c>
      <c r="C33" s="4">
        <v>66</v>
      </c>
      <c r="D33" s="4" t="s">
        <v>183</v>
      </c>
      <c r="E33" s="13">
        <f t="shared" si="3"/>
        <v>1328.5714285714287</v>
      </c>
      <c r="F33" s="13">
        <f t="shared" si="0"/>
        <v>-8.5714285714286689</v>
      </c>
      <c r="G33" s="13">
        <f t="shared" si="1"/>
        <v>8.5714285714286689</v>
      </c>
      <c r="H33" s="4" t="e">
        <f ca="1">IF(G33&gt;2.5*_xludf.STDEV.S($F$12:F33),"Review","Normal")</f>
        <v>#NAME?</v>
      </c>
      <c r="I33" s="4"/>
    </row>
    <row r="34" spans="1:9">
      <c r="A34" s="12">
        <v>46051</v>
      </c>
      <c r="B34" s="13">
        <v>1360</v>
      </c>
      <c r="C34" s="4">
        <v>68</v>
      </c>
      <c r="D34" s="4" t="s">
        <v>183</v>
      </c>
      <c r="E34" s="13">
        <f t="shared" si="3"/>
        <v>1340</v>
      </c>
      <c r="F34" s="13">
        <f t="shared" si="0"/>
        <v>20</v>
      </c>
      <c r="G34" s="13">
        <f t="shared" si="1"/>
        <v>20</v>
      </c>
      <c r="H34" s="4" t="e">
        <f ca="1">IF(G34&gt;2.5*_xludf.STDEV.S($F$12:F34),"Review","Normal")</f>
        <v>#NAME?</v>
      </c>
      <c r="I34" s="4"/>
    </row>
    <row r="35" spans="1:9">
      <c r="A35" s="12">
        <v>46052</v>
      </c>
      <c r="B35" s="13">
        <v>1450</v>
      </c>
      <c r="C35" s="4">
        <v>72</v>
      </c>
      <c r="D35" s="4" t="s">
        <v>183</v>
      </c>
      <c r="E35" s="13">
        <f t="shared" si="3"/>
        <v>1360</v>
      </c>
      <c r="F35" s="13">
        <f t="shared" si="0"/>
        <v>90</v>
      </c>
      <c r="G35" s="13">
        <f t="shared" si="1"/>
        <v>90</v>
      </c>
      <c r="H35" s="4" t="e">
        <f ca="1">IF(G35&gt;2.5*_xludf.STDEV.S($F$12:F35),"Review","Normal")</f>
        <v>#NAME?</v>
      </c>
      <c r="I35" s="4"/>
    </row>
  </sheetData>
  <mergeCells count="2">
    <mergeCell ref="A1:I1"/>
    <mergeCell ref="B3:I3"/>
  </mergeCells>
  <conditionalFormatting sqref="B6:B35">
    <cfRule type="cellIs" dxfId="3" priority="1" operator="lessThan">
      <formula>0</formula>
    </cfRule>
    <cfRule type="cellIs" dxfId="2" priority="2" operator="greaterThan">
      <formula>5000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tabSelected="1" topLeftCell="A5" workbookViewId="0">
      <selection activeCell="I11" sqref="I11"/>
    </sheetView>
  </sheetViews>
  <sheetFormatPr defaultRowHeight="13.8"/>
  <cols>
    <col min="1" max="1" width="12" customWidth="1"/>
    <col min="2" max="6" width="17" customWidth="1"/>
    <col min="7" max="7" width="3" customWidth="1"/>
    <col min="8" max="8" width="24" customWidth="1"/>
    <col min="9" max="9" width="14" customWidth="1"/>
    <col min="10" max="10" width="35" customWidth="1"/>
  </cols>
  <sheetData>
    <row r="1" spans="1:10" ht="14.4" customHeight="1">
      <c r="A1" s="24" t="s">
        <v>187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72" customHeight="1">
      <c r="A3" s="1" t="s">
        <v>188</v>
      </c>
      <c r="B3" s="27" t="s">
        <v>414</v>
      </c>
      <c r="C3" s="27"/>
      <c r="D3" s="27"/>
      <c r="E3" s="27"/>
      <c r="F3" s="27"/>
      <c r="G3" s="27"/>
      <c r="H3" s="27"/>
      <c r="I3" s="27"/>
      <c r="J3" s="1"/>
    </row>
    <row r="4" spans="1:10" ht="43.2" customHeight="1">
      <c r="A4" s="1" t="s">
        <v>189</v>
      </c>
      <c r="B4" s="27" t="s">
        <v>190</v>
      </c>
      <c r="C4" s="27"/>
      <c r="D4" s="27"/>
      <c r="E4" s="27"/>
      <c r="F4" s="27"/>
      <c r="G4" s="27"/>
      <c r="H4" s="27"/>
      <c r="I4" s="27"/>
      <c r="J4" s="26"/>
    </row>
    <row r="7" spans="1:10" ht="27.6">
      <c r="A7" s="3" t="s">
        <v>191</v>
      </c>
      <c r="B7" s="3" t="s">
        <v>192</v>
      </c>
      <c r="C7" s="3" t="s">
        <v>352</v>
      </c>
      <c r="D7" s="3" t="s">
        <v>193</v>
      </c>
      <c r="E7" s="3" t="s">
        <v>353</v>
      </c>
      <c r="F7" s="3" t="s">
        <v>194</v>
      </c>
      <c r="G7" s="3"/>
      <c r="H7" s="3" t="s">
        <v>195</v>
      </c>
      <c r="I7" s="3" t="s">
        <v>196</v>
      </c>
      <c r="J7" s="3" t="s">
        <v>197</v>
      </c>
    </row>
    <row r="8" spans="1:10">
      <c r="A8" s="4">
        <v>1</v>
      </c>
      <c r="B8" s="13">
        <v>118</v>
      </c>
      <c r="C8" s="13" t="s">
        <v>354</v>
      </c>
      <c r="D8" s="13">
        <v>130</v>
      </c>
      <c r="E8" s="13" t="s">
        <v>384</v>
      </c>
      <c r="F8" s="13">
        <f t="shared" ref="F8:F37" si="0">D8-B8</f>
        <v>12</v>
      </c>
      <c r="H8" s="4" t="s">
        <v>198</v>
      </c>
      <c r="I8" s="14">
        <f>COUNT(B8:B37)</f>
        <v>30</v>
      </c>
      <c r="J8" s="4" t="s">
        <v>148</v>
      </c>
    </row>
    <row r="9" spans="1:10">
      <c r="A9" s="4">
        <v>2</v>
      </c>
      <c r="B9" s="13">
        <v>95</v>
      </c>
      <c r="C9" s="13" t="s">
        <v>355</v>
      </c>
      <c r="D9" s="13">
        <v>142</v>
      </c>
      <c r="E9" s="13" t="s">
        <v>385</v>
      </c>
      <c r="F9" s="13">
        <f t="shared" si="0"/>
        <v>47</v>
      </c>
      <c r="H9" s="4" t="s">
        <v>199</v>
      </c>
      <c r="I9" s="14">
        <f>COUNT(D8:D37)</f>
        <v>30</v>
      </c>
      <c r="J9" s="4" t="s">
        <v>148</v>
      </c>
    </row>
    <row r="10" spans="1:10">
      <c r="A10" s="4">
        <v>3</v>
      </c>
      <c r="B10" s="13">
        <v>102</v>
      </c>
      <c r="C10" s="13" t="s">
        <v>356</v>
      </c>
      <c r="D10" s="13">
        <v>121</v>
      </c>
      <c r="E10" s="13" t="s">
        <v>386</v>
      </c>
      <c r="F10" s="13">
        <f t="shared" si="0"/>
        <v>19</v>
      </c>
      <c r="H10" s="4" t="s">
        <v>200</v>
      </c>
      <c r="I10" s="14">
        <f>AVERAGE(B8:B37)</f>
        <v>108.33333333333333</v>
      </c>
      <c r="J10" s="4" t="s">
        <v>201</v>
      </c>
    </row>
    <row r="11" spans="1:10">
      <c r="A11" s="4">
        <v>4</v>
      </c>
      <c r="B11" s="13">
        <v>130</v>
      </c>
      <c r="C11" s="13" t="s">
        <v>357</v>
      </c>
      <c r="D11" s="13">
        <v>135</v>
      </c>
      <c r="E11" s="13" t="s">
        <v>387</v>
      </c>
      <c r="F11" s="13">
        <f t="shared" si="0"/>
        <v>5</v>
      </c>
      <c r="H11" s="4" t="s">
        <v>202</v>
      </c>
      <c r="I11" s="14">
        <f>AVERAGE(D8:D37)</f>
        <v>139.66666666666666</v>
      </c>
      <c r="J11" s="4" t="s">
        <v>201</v>
      </c>
    </row>
    <row r="12" spans="1:10">
      <c r="A12" s="4">
        <v>5</v>
      </c>
      <c r="B12" s="13">
        <v>111</v>
      </c>
      <c r="C12" s="13" t="s">
        <v>358</v>
      </c>
      <c r="D12" s="13">
        <v>150</v>
      </c>
      <c r="E12" s="13" t="s">
        <v>388</v>
      </c>
      <c r="F12" s="13">
        <f t="shared" si="0"/>
        <v>39</v>
      </c>
      <c r="H12" s="4" t="s">
        <v>203</v>
      </c>
      <c r="I12" s="14">
        <f>AVERAGE(D8:D37)-AVERAGE(B8:B37)</f>
        <v>31.333333333333329</v>
      </c>
      <c r="J12" s="4" t="s">
        <v>204</v>
      </c>
    </row>
    <row r="13" spans="1:10">
      <c r="A13" s="4">
        <v>6</v>
      </c>
      <c r="B13" s="13">
        <v>98</v>
      </c>
      <c r="C13" s="13" t="s">
        <v>359</v>
      </c>
      <c r="D13" s="13">
        <v>128</v>
      </c>
      <c r="E13" s="13" t="s">
        <v>389</v>
      </c>
      <c r="F13" s="13">
        <f t="shared" si="0"/>
        <v>30</v>
      </c>
      <c r="H13" s="4" t="s">
        <v>205</v>
      </c>
      <c r="I13" s="14">
        <f>STDEV(B8:B37)</f>
        <v>11.148939437216139</v>
      </c>
      <c r="J13" s="4" t="s">
        <v>206</v>
      </c>
    </row>
    <row r="14" spans="1:10">
      <c r="A14" s="4">
        <v>7</v>
      </c>
      <c r="B14" s="13">
        <v>125</v>
      </c>
      <c r="C14" s="13" t="s">
        <v>360</v>
      </c>
      <c r="D14" s="13">
        <v>160</v>
      </c>
      <c r="E14" s="13" t="s">
        <v>390</v>
      </c>
      <c r="F14" s="13">
        <f t="shared" si="0"/>
        <v>35</v>
      </c>
      <c r="H14" s="4" t="s">
        <v>207</v>
      </c>
      <c r="I14" s="14">
        <f>STDEV(D8:D37)</f>
        <v>11.695366997037857</v>
      </c>
      <c r="J14" s="4" t="s">
        <v>206</v>
      </c>
    </row>
    <row r="15" spans="1:10">
      <c r="A15" s="4">
        <v>8</v>
      </c>
      <c r="B15" s="13">
        <v>107</v>
      </c>
      <c r="C15" s="13" t="s">
        <v>361</v>
      </c>
      <c r="D15" s="13">
        <v>133</v>
      </c>
      <c r="E15" s="13" t="s">
        <v>391</v>
      </c>
      <c r="F15" s="13">
        <f t="shared" si="0"/>
        <v>26</v>
      </c>
      <c r="H15" s="4" t="s">
        <v>208</v>
      </c>
      <c r="I15" s="14">
        <f>MAX(I13,I14)/MIN(I13,I14)</f>
        <v>1.0490116179120763</v>
      </c>
      <c r="J15" s="4" t="s">
        <v>209</v>
      </c>
    </row>
    <row r="16" spans="1:10">
      <c r="A16" s="4">
        <v>9</v>
      </c>
      <c r="B16" s="13">
        <v>89</v>
      </c>
      <c r="C16" s="13" t="s">
        <v>362</v>
      </c>
      <c r="D16" s="13">
        <v>125</v>
      </c>
      <c r="E16" s="13" t="s">
        <v>392</v>
      </c>
      <c r="F16" s="13">
        <f t="shared" si="0"/>
        <v>36</v>
      </c>
      <c r="H16" s="4" t="s">
        <v>210</v>
      </c>
      <c r="I16" s="29">
        <f>TTEST(B8:B37,D8:D37,1,2)</f>
        <v>1.5850558202851398E-15</v>
      </c>
      <c r="J16" s="4" t="s">
        <v>211</v>
      </c>
    </row>
    <row r="17" spans="1:10">
      <c r="A17" s="4">
        <v>10</v>
      </c>
      <c r="B17" s="13">
        <v>116</v>
      </c>
      <c r="C17" s="13" t="s">
        <v>363</v>
      </c>
      <c r="D17" s="13">
        <v>148</v>
      </c>
      <c r="E17" s="13" t="s">
        <v>393</v>
      </c>
      <c r="F17" s="13">
        <f t="shared" si="0"/>
        <v>32</v>
      </c>
      <c r="H17" s="4" t="s">
        <v>212</v>
      </c>
      <c r="I17" s="29">
        <f>TTEST(B8:B37,D8:D37,2,2)</f>
        <v>3.1701116405702796E-15</v>
      </c>
      <c r="J17" s="4" t="s">
        <v>213</v>
      </c>
    </row>
    <row r="18" spans="1:10">
      <c r="A18" s="4">
        <v>11</v>
      </c>
      <c r="B18" s="13">
        <v>101</v>
      </c>
      <c r="C18" s="13" t="s">
        <v>364</v>
      </c>
      <c r="D18" s="13">
        <v>137</v>
      </c>
      <c r="E18" s="13" t="s">
        <v>394</v>
      </c>
      <c r="F18" s="13">
        <f t="shared" si="0"/>
        <v>36</v>
      </c>
      <c r="H18" s="4" t="s">
        <v>214</v>
      </c>
      <c r="I18" s="14">
        <f>(AVERAGE(D8:D37)-AVERAGE(B8:B37))/SQRT(((COUNT(B8:B37)-1)*VAR(B8:B37)+(COUNT(D8:D37)-1)*VAR(D8:D37))/(COUNT(B8:B37)+COUNT(D8:D37)-2))</f>
        <v>2.742422808805784</v>
      </c>
      <c r="J18" s="4" t="s">
        <v>215</v>
      </c>
    </row>
    <row r="19" spans="1:10">
      <c r="A19" s="4">
        <v>12</v>
      </c>
      <c r="B19" s="13">
        <v>122</v>
      </c>
      <c r="C19" s="13" t="s">
        <v>365</v>
      </c>
      <c r="D19" s="13">
        <v>155</v>
      </c>
      <c r="E19" s="13" t="s">
        <v>395</v>
      </c>
      <c r="F19" s="13">
        <f t="shared" si="0"/>
        <v>33</v>
      </c>
    </row>
    <row r="20" spans="1:10">
      <c r="A20" s="4">
        <v>13</v>
      </c>
      <c r="B20" s="13">
        <v>110</v>
      </c>
      <c r="C20" s="13" t="s">
        <v>366</v>
      </c>
      <c r="D20" s="13">
        <v>124</v>
      </c>
      <c r="E20" s="13" t="s">
        <v>396</v>
      </c>
      <c r="F20" s="13">
        <f t="shared" si="0"/>
        <v>14</v>
      </c>
    </row>
    <row r="21" spans="1:10">
      <c r="A21" s="4">
        <v>14</v>
      </c>
      <c r="B21" s="13">
        <v>97</v>
      </c>
      <c r="C21" s="13" t="s">
        <v>367</v>
      </c>
      <c r="D21" s="13">
        <v>140</v>
      </c>
      <c r="E21" s="13" t="s">
        <v>397</v>
      </c>
      <c r="F21" s="13">
        <f t="shared" si="0"/>
        <v>43</v>
      </c>
    </row>
    <row r="22" spans="1:10">
      <c r="A22" s="4">
        <v>15</v>
      </c>
      <c r="B22" s="13">
        <v>105</v>
      </c>
      <c r="C22" s="13" t="s">
        <v>368</v>
      </c>
      <c r="D22" s="13">
        <v>152</v>
      </c>
      <c r="E22" s="13" t="s">
        <v>398</v>
      </c>
      <c r="F22" s="13">
        <f t="shared" si="0"/>
        <v>47</v>
      </c>
    </row>
    <row r="23" spans="1:10">
      <c r="A23" s="4">
        <v>16</v>
      </c>
      <c r="B23" s="13">
        <v>114</v>
      </c>
      <c r="C23" s="13" t="s">
        <v>369</v>
      </c>
      <c r="D23" s="13">
        <v>139</v>
      </c>
      <c r="E23" s="13" t="s">
        <v>399</v>
      </c>
      <c r="F23" s="13">
        <f t="shared" si="0"/>
        <v>25</v>
      </c>
    </row>
    <row r="24" spans="1:10">
      <c r="A24" s="4">
        <v>17</v>
      </c>
      <c r="B24" s="13">
        <v>99</v>
      </c>
      <c r="C24" s="13" t="s">
        <v>370</v>
      </c>
      <c r="D24" s="13">
        <v>131</v>
      </c>
      <c r="E24" s="13" t="s">
        <v>400</v>
      </c>
      <c r="F24" s="13">
        <f t="shared" si="0"/>
        <v>32</v>
      </c>
    </row>
    <row r="25" spans="1:10">
      <c r="A25" s="4">
        <v>18</v>
      </c>
      <c r="B25" s="13">
        <v>121</v>
      </c>
      <c r="C25" s="13" t="s">
        <v>371</v>
      </c>
      <c r="D25" s="13">
        <v>157</v>
      </c>
      <c r="E25" s="13" t="s">
        <v>401</v>
      </c>
      <c r="F25" s="13">
        <f t="shared" si="0"/>
        <v>36</v>
      </c>
    </row>
    <row r="26" spans="1:10">
      <c r="A26" s="4">
        <v>19</v>
      </c>
      <c r="B26" s="13">
        <v>112</v>
      </c>
      <c r="C26" s="13" t="s">
        <v>372</v>
      </c>
      <c r="D26" s="13">
        <v>145</v>
      </c>
      <c r="E26" s="13" t="s">
        <v>402</v>
      </c>
      <c r="F26" s="13">
        <f t="shared" si="0"/>
        <v>33</v>
      </c>
    </row>
    <row r="27" spans="1:10">
      <c r="A27" s="4">
        <v>20</v>
      </c>
      <c r="B27" s="13">
        <v>93</v>
      </c>
      <c r="C27" s="13" t="s">
        <v>373</v>
      </c>
      <c r="D27" s="13">
        <v>122</v>
      </c>
      <c r="E27" s="13" t="s">
        <v>403</v>
      </c>
      <c r="F27" s="13">
        <f t="shared" si="0"/>
        <v>29</v>
      </c>
    </row>
    <row r="28" spans="1:10">
      <c r="A28" s="4">
        <v>21</v>
      </c>
      <c r="B28" s="13">
        <v>109</v>
      </c>
      <c r="C28" s="13" t="s">
        <v>374</v>
      </c>
      <c r="D28" s="13">
        <v>136</v>
      </c>
      <c r="E28" s="13" t="s">
        <v>404</v>
      </c>
      <c r="F28" s="13">
        <f t="shared" si="0"/>
        <v>27</v>
      </c>
    </row>
    <row r="29" spans="1:10">
      <c r="A29" s="4">
        <v>22</v>
      </c>
      <c r="B29" s="13">
        <v>117</v>
      </c>
      <c r="C29" s="13" t="s">
        <v>375</v>
      </c>
      <c r="D29" s="13">
        <v>149</v>
      </c>
      <c r="E29" s="13" t="s">
        <v>405</v>
      </c>
      <c r="F29" s="13">
        <f t="shared" si="0"/>
        <v>32</v>
      </c>
    </row>
    <row r="30" spans="1:10">
      <c r="A30" s="4">
        <v>23</v>
      </c>
      <c r="B30" s="13">
        <v>100</v>
      </c>
      <c r="C30" s="13" t="s">
        <v>376</v>
      </c>
      <c r="D30" s="13">
        <v>134</v>
      </c>
      <c r="E30" s="13" t="s">
        <v>406</v>
      </c>
      <c r="F30" s="13">
        <f t="shared" si="0"/>
        <v>34</v>
      </c>
    </row>
    <row r="31" spans="1:10">
      <c r="A31" s="4">
        <v>24</v>
      </c>
      <c r="B31" s="13">
        <v>104</v>
      </c>
      <c r="C31" s="13" t="s">
        <v>377</v>
      </c>
      <c r="D31" s="13">
        <v>138</v>
      </c>
      <c r="E31" s="13" t="s">
        <v>407</v>
      </c>
      <c r="F31" s="13">
        <f t="shared" si="0"/>
        <v>34</v>
      </c>
    </row>
    <row r="32" spans="1:10">
      <c r="A32" s="4">
        <v>25</v>
      </c>
      <c r="B32" s="13">
        <v>126</v>
      </c>
      <c r="C32" s="13" t="s">
        <v>378</v>
      </c>
      <c r="D32" s="13">
        <v>162</v>
      </c>
      <c r="E32" s="13" t="s">
        <v>408</v>
      </c>
      <c r="F32" s="13">
        <f t="shared" si="0"/>
        <v>36</v>
      </c>
    </row>
    <row r="33" spans="1:6">
      <c r="A33" s="4">
        <v>26</v>
      </c>
      <c r="B33" s="13">
        <v>91</v>
      </c>
      <c r="C33" s="13" t="s">
        <v>379</v>
      </c>
      <c r="D33" s="13">
        <v>127</v>
      </c>
      <c r="E33" s="13" t="s">
        <v>409</v>
      </c>
      <c r="F33" s="13">
        <f t="shared" si="0"/>
        <v>36</v>
      </c>
    </row>
    <row r="34" spans="1:6">
      <c r="A34" s="4">
        <v>27</v>
      </c>
      <c r="B34" s="13">
        <v>115</v>
      </c>
      <c r="C34" s="13" t="s">
        <v>380</v>
      </c>
      <c r="D34" s="13">
        <v>146</v>
      </c>
      <c r="E34" s="13" t="s">
        <v>410</v>
      </c>
      <c r="F34" s="13">
        <f t="shared" si="0"/>
        <v>31</v>
      </c>
    </row>
    <row r="35" spans="1:6">
      <c r="A35" s="4">
        <v>28</v>
      </c>
      <c r="B35" s="13">
        <v>108</v>
      </c>
      <c r="C35" s="13" t="s">
        <v>381</v>
      </c>
      <c r="D35" s="13">
        <v>141</v>
      </c>
      <c r="E35" s="13" t="s">
        <v>411</v>
      </c>
      <c r="F35" s="13">
        <f t="shared" si="0"/>
        <v>33</v>
      </c>
    </row>
    <row r="36" spans="1:6">
      <c r="A36" s="4">
        <v>29</v>
      </c>
      <c r="B36" s="13">
        <v>119</v>
      </c>
      <c r="C36" s="13" t="s">
        <v>382</v>
      </c>
      <c r="D36" s="13">
        <v>154</v>
      </c>
      <c r="E36" s="13" t="s">
        <v>412</v>
      </c>
      <c r="F36" s="13">
        <f t="shared" si="0"/>
        <v>35</v>
      </c>
    </row>
    <row r="37" spans="1:6">
      <c r="A37" s="4">
        <v>30</v>
      </c>
      <c r="B37" s="13">
        <v>96</v>
      </c>
      <c r="C37" s="13" t="s">
        <v>383</v>
      </c>
      <c r="D37" s="13">
        <v>129</v>
      </c>
      <c r="E37" s="13" t="s">
        <v>413</v>
      </c>
      <c r="F37" s="13">
        <f t="shared" si="0"/>
        <v>33</v>
      </c>
    </row>
    <row r="38" spans="1:6">
      <c r="B38" s="11">
        <f>SUM(IndependentTData[Sales_Control_A])</f>
        <v>3250</v>
      </c>
      <c r="C38" s="11"/>
      <c r="D38" s="11">
        <f>SUM(IndependentTData[Sales_Variant_B])</f>
        <v>4190</v>
      </c>
      <c r="E38" s="11"/>
    </row>
  </sheetData>
  <mergeCells count="3">
    <mergeCell ref="A1:J1"/>
    <mergeCell ref="B3:I3"/>
    <mergeCell ref="B4:I4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/>
  </sheetViews>
  <sheetFormatPr defaultRowHeight="13.8"/>
  <cols>
    <col min="1" max="1" width="12" customWidth="1"/>
    <col min="2" max="3" width="17" customWidth="1"/>
    <col min="4" max="4" width="24" customWidth="1"/>
    <col min="5" max="5" width="3" customWidth="1"/>
    <col min="6" max="6" width="24" customWidth="1"/>
    <col min="7" max="7" width="14" customWidth="1"/>
    <col min="8" max="8" width="35" customWidth="1"/>
  </cols>
  <sheetData>
    <row r="1" spans="1:8" ht="14.4" customHeight="1">
      <c r="A1" s="24" t="s">
        <v>216</v>
      </c>
      <c r="B1" s="25"/>
      <c r="C1" s="25"/>
      <c r="D1" s="25"/>
      <c r="E1" s="25"/>
      <c r="F1" s="25"/>
      <c r="G1" s="25"/>
      <c r="H1" s="25"/>
    </row>
    <row r="3" spans="1:8" ht="27.6">
      <c r="A3" s="1" t="s">
        <v>188</v>
      </c>
      <c r="B3" s="22" t="s">
        <v>217</v>
      </c>
      <c r="C3" s="22"/>
      <c r="D3" s="22"/>
      <c r="E3" s="22"/>
      <c r="F3" s="22"/>
      <c r="G3" s="22"/>
      <c r="H3" s="22"/>
    </row>
    <row r="4" spans="1:8">
      <c r="A4" s="1" t="s">
        <v>189</v>
      </c>
      <c r="B4" s="22" t="s">
        <v>218</v>
      </c>
      <c r="C4" s="22"/>
      <c r="D4" s="22"/>
      <c r="E4" s="22"/>
      <c r="F4" s="22"/>
      <c r="G4" s="22"/>
      <c r="H4" s="22"/>
    </row>
    <row r="7" spans="1:8" ht="27.6">
      <c r="A7" s="3" t="s">
        <v>219</v>
      </c>
      <c r="B7" s="3" t="s">
        <v>220</v>
      </c>
      <c r="C7" s="3" t="s">
        <v>221</v>
      </c>
      <c r="D7" s="3" t="s">
        <v>222</v>
      </c>
      <c r="E7" s="3"/>
      <c r="F7" s="3" t="s">
        <v>195</v>
      </c>
      <c r="G7" s="3" t="s">
        <v>196</v>
      </c>
      <c r="H7" s="3" t="s">
        <v>197</v>
      </c>
    </row>
    <row r="8" spans="1:8">
      <c r="A8" s="4" t="s">
        <v>223</v>
      </c>
      <c r="B8" s="13">
        <v>8200</v>
      </c>
      <c r="C8" s="13">
        <v>8950</v>
      </c>
      <c r="D8" s="13">
        <f t="shared" ref="D8:D27" si="0">C8-B8</f>
        <v>750</v>
      </c>
      <c r="E8" s="4"/>
      <c r="F8" s="4" t="s">
        <v>224</v>
      </c>
      <c r="G8" s="14">
        <f>COUNT(B8:B27)</f>
        <v>20</v>
      </c>
      <c r="H8" s="4" t="s">
        <v>148</v>
      </c>
    </row>
    <row r="9" spans="1:8">
      <c r="A9" s="4" t="s">
        <v>225</v>
      </c>
      <c r="B9" s="13">
        <v>7600</v>
      </c>
      <c r="C9" s="13">
        <v>8050</v>
      </c>
      <c r="D9" s="13">
        <f t="shared" si="0"/>
        <v>450</v>
      </c>
      <c r="E9" s="4"/>
      <c r="F9" s="4" t="s">
        <v>226</v>
      </c>
      <c r="G9" s="14">
        <f>AVERAGE(B8:B27)</f>
        <v>8055</v>
      </c>
      <c r="H9" s="4" t="s">
        <v>227</v>
      </c>
    </row>
    <row r="10" spans="1:8">
      <c r="A10" s="4" t="s">
        <v>228</v>
      </c>
      <c r="B10" s="13">
        <v>9100</v>
      </c>
      <c r="C10" s="13">
        <v>9900</v>
      </c>
      <c r="D10" s="13">
        <f t="shared" si="0"/>
        <v>800</v>
      </c>
      <c r="E10" s="4"/>
      <c r="F10" s="4" t="s">
        <v>229</v>
      </c>
      <c r="G10" s="14">
        <f>AVERAGE(C8:C27)</f>
        <v>8677.5</v>
      </c>
      <c r="H10" s="4" t="s">
        <v>230</v>
      </c>
    </row>
    <row r="11" spans="1:8">
      <c r="A11" s="4" t="s">
        <v>231</v>
      </c>
      <c r="B11" s="13">
        <v>6800</v>
      </c>
      <c r="C11" s="13">
        <v>7200</v>
      </c>
      <c r="D11" s="13">
        <f t="shared" si="0"/>
        <v>400</v>
      </c>
      <c r="E11" s="4"/>
      <c r="F11" s="4" t="s">
        <v>232</v>
      </c>
      <c r="G11" s="14">
        <f>AVERAGE(D8:D27)</f>
        <v>622.5</v>
      </c>
      <c r="H11" s="4" t="s">
        <v>204</v>
      </c>
    </row>
    <row r="12" spans="1:8">
      <c r="A12" s="4" t="s">
        <v>233</v>
      </c>
      <c r="B12" s="13">
        <v>7200</v>
      </c>
      <c r="C12" s="13">
        <v>7800</v>
      </c>
      <c r="D12" s="13">
        <f t="shared" si="0"/>
        <v>600</v>
      </c>
      <c r="E12" s="4"/>
      <c r="F12" s="4" t="s">
        <v>234</v>
      </c>
      <c r="G12" s="15">
        <f>AVERAGE(D8:D27)/AVERAGE(B8:B27)</f>
        <v>7.7281191806331473E-2</v>
      </c>
      <c r="H12" s="4" t="s">
        <v>235</v>
      </c>
    </row>
    <row r="13" spans="1:8">
      <c r="A13" s="4" t="s">
        <v>236</v>
      </c>
      <c r="B13" s="13">
        <v>8700</v>
      </c>
      <c r="C13" s="13">
        <v>9400</v>
      </c>
      <c r="D13" s="13">
        <f t="shared" si="0"/>
        <v>700</v>
      </c>
      <c r="E13" s="4"/>
      <c r="F13" s="4" t="s">
        <v>210</v>
      </c>
      <c r="G13" s="14" t="e">
        <f ca="1">_xludf.T.TEST(B8:B27,C8:C27,1,1)</f>
        <v>#NAME?</v>
      </c>
      <c r="H13" s="4" t="s">
        <v>237</v>
      </c>
    </row>
    <row r="14" spans="1:8">
      <c r="A14" s="4" t="s">
        <v>238</v>
      </c>
      <c r="B14" s="13">
        <v>9300</v>
      </c>
      <c r="C14" s="13">
        <v>10100</v>
      </c>
      <c r="D14" s="13">
        <f t="shared" si="0"/>
        <v>800</v>
      </c>
      <c r="E14" s="4"/>
      <c r="F14" s="4" t="s">
        <v>212</v>
      </c>
      <c r="G14" s="14" t="e">
        <f ca="1">_xludf.T.TEST(B8:B27,C8:C27,2,1)</f>
        <v>#NAME?</v>
      </c>
      <c r="H14" s="4" t="s">
        <v>239</v>
      </c>
    </row>
    <row r="15" spans="1:8">
      <c r="A15" s="4" t="s">
        <v>240</v>
      </c>
      <c r="B15" s="13">
        <v>6500</v>
      </c>
      <c r="C15" s="13">
        <v>7000</v>
      </c>
      <c r="D15" s="13">
        <f t="shared" si="0"/>
        <v>500</v>
      </c>
      <c r="E15" s="4"/>
      <c r="F15" s="4"/>
      <c r="G15" s="4"/>
      <c r="H15" s="4"/>
    </row>
    <row r="16" spans="1:8">
      <c r="A16" s="4" t="s">
        <v>241</v>
      </c>
      <c r="B16" s="13">
        <v>7900</v>
      </c>
      <c r="C16" s="13">
        <v>8500</v>
      </c>
      <c r="D16" s="13">
        <f t="shared" si="0"/>
        <v>600</v>
      </c>
      <c r="E16" s="4"/>
      <c r="F16" s="4"/>
      <c r="G16" s="4"/>
      <c r="H16" s="4"/>
    </row>
    <row r="17" spans="1:8">
      <c r="A17" s="4" t="s">
        <v>242</v>
      </c>
      <c r="B17" s="13">
        <v>8400</v>
      </c>
      <c r="C17" s="13">
        <v>9000</v>
      </c>
      <c r="D17" s="13">
        <f t="shared" si="0"/>
        <v>600</v>
      </c>
      <c r="E17" s="4"/>
      <c r="F17" s="4"/>
      <c r="G17" s="4"/>
      <c r="H17" s="4"/>
    </row>
    <row r="18" spans="1:8">
      <c r="A18" s="4" t="s">
        <v>243</v>
      </c>
      <c r="B18" s="13">
        <v>7100</v>
      </c>
      <c r="C18" s="13">
        <v>7600</v>
      </c>
      <c r="D18" s="13">
        <f t="shared" si="0"/>
        <v>500</v>
      </c>
      <c r="E18" s="4"/>
      <c r="F18" s="4"/>
      <c r="G18" s="4"/>
      <c r="H18" s="4"/>
    </row>
    <row r="19" spans="1:8">
      <c r="A19" s="4" t="s">
        <v>244</v>
      </c>
      <c r="B19" s="13">
        <v>8800</v>
      </c>
      <c r="C19" s="13">
        <v>9600</v>
      </c>
      <c r="D19" s="13">
        <f t="shared" si="0"/>
        <v>800</v>
      </c>
      <c r="E19" s="4"/>
      <c r="F19" s="4"/>
      <c r="G19" s="4"/>
      <c r="H19" s="4"/>
    </row>
    <row r="20" spans="1:8">
      <c r="A20" s="4" t="s">
        <v>245</v>
      </c>
      <c r="B20" s="13">
        <v>9500</v>
      </c>
      <c r="C20" s="13">
        <v>10200</v>
      </c>
      <c r="D20" s="13">
        <f t="shared" si="0"/>
        <v>700</v>
      </c>
      <c r="E20" s="4"/>
      <c r="F20" s="4"/>
      <c r="G20" s="4"/>
      <c r="H20" s="4"/>
    </row>
    <row r="21" spans="1:8">
      <c r="A21" s="4" t="s">
        <v>246</v>
      </c>
      <c r="B21" s="13">
        <v>7700</v>
      </c>
      <c r="C21" s="13">
        <v>8200</v>
      </c>
      <c r="D21" s="13">
        <f t="shared" si="0"/>
        <v>500</v>
      </c>
      <c r="E21" s="4"/>
      <c r="F21" s="4"/>
      <c r="G21" s="4"/>
      <c r="H21" s="4"/>
    </row>
    <row r="22" spans="1:8">
      <c r="A22" s="4" t="s">
        <v>247</v>
      </c>
      <c r="B22" s="13">
        <v>8300</v>
      </c>
      <c r="C22" s="13">
        <v>8800</v>
      </c>
      <c r="D22" s="13">
        <f t="shared" si="0"/>
        <v>500</v>
      </c>
      <c r="E22" s="4"/>
      <c r="F22" s="4"/>
      <c r="G22" s="4"/>
      <c r="H22" s="4"/>
    </row>
    <row r="23" spans="1:8">
      <c r="A23" s="4" t="s">
        <v>248</v>
      </c>
      <c r="B23" s="13">
        <v>6900</v>
      </c>
      <c r="C23" s="13">
        <v>7500</v>
      </c>
      <c r="D23" s="13">
        <f t="shared" si="0"/>
        <v>600</v>
      </c>
      <c r="E23" s="4"/>
      <c r="F23" s="4"/>
      <c r="G23" s="4"/>
      <c r="H23" s="4"/>
    </row>
    <row r="24" spans="1:8">
      <c r="A24" s="4" t="s">
        <v>249</v>
      </c>
      <c r="B24" s="13">
        <v>9000</v>
      </c>
      <c r="C24" s="13">
        <v>9800</v>
      </c>
      <c r="D24" s="13">
        <f t="shared" si="0"/>
        <v>800</v>
      </c>
      <c r="E24" s="4"/>
      <c r="F24" s="4"/>
      <c r="G24" s="4"/>
      <c r="H24" s="4"/>
    </row>
    <row r="25" spans="1:8">
      <c r="A25" s="4" t="s">
        <v>250</v>
      </c>
      <c r="B25" s="13">
        <v>7400</v>
      </c>
      <c r="C25" s="13">
        <v>7900</v>
      </c>
      <c r="D25" s="13">
        <f t="shared" si="0"/>
        <v>500</v>
      </c>
      <c r="E25" s="4"/>
      <c r="F25" s="4"/>
      <c r="G25" s="4"/>
      <c r="H25" s="4"/>
    </row>
    <row r="26" spans="1:8">
      <c r="A26" s="4" t="s">
        <v>251</v>
      </c>
      <c r="B26" s="13">
        <v>8600</v>
      </c>
      <c r="C26" s="13">
        <v>9300</v>
      </c>
      <c r="D26" s="13">
        <f t="shared" si="0"/>
        <v>700</v>
      </c>
      <c r="E26" s="4"/>
      <c r="F26" s="4"/>
      <c r="G26" s="4"/>
      <c r="H26" s="4"/>
    </row>
    <row r="27" spans="1:8">
      <c r="A27" s="4" t="s">
        <v>252</v>
      </c>
      <c r="B27" s="13">
        <v>8100</v>
      </c>
      <c r="C27" s="13">
        <v>8750</v>
      </c>
      <c r="D27" s="13">
        <f t="shared" si="0"/>
        <v>650</v>
      </c>
      <c r="E27" s="4"/>
      <c r="F27" s="4"/>
      <c r="G27" s="4"/>
      <c r="H27" s="4"/>
    </row>
  </sheetData>
  <mergeCells count="3">
    <mergeCell ref="A1:H1"/>
    <mergeCell ref="B3:H3"/>
    <mergeCell ref="B4:H4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/>
  </sheetViews>
  <sheetFormatPr defaultRowHeight="13.8"/>
  <cols>
    <col min="1" max="1" width="24" customWidth="1"/>
    <col min="2" max="2" width="15" customWidth="1"/>
    <col min="3" max="3" width="22" customWidth="1"/>
    <col min="4" max="4" width="48" customWidth="1"/>
    <col min="5" max="5" width="17" customWidth="1"/>
    <col min="6" max="6" width="24" customWidth="1"/>
  </cols>
  <sheetData>
    <row r="1" spans="1:8" ht="14.4" customHeight="1">
      <c r="A1" s="24" t="s">
        <v>253</v>
      </c>
      <c r="B1" s="25"/>
      <c r="C1" s="25"/>
      <c r="D1" s="25"/>
      <c r="E1" s="25"/>
      <c r="F1" s="25"/>
      <c r="G1" s="25"/>
      <c r="H1" s="25"/>
    </row>
    <row r="3" spans="1:8">
      <c r="A3" s="1" t="s">
        <v>188</v>
      </c>
      <c r="B3" s="22" t="s">
        <v>254</v>
      </c>
      <c r="C3" s="22"/>
      <c r="D3" s="22"/>
      <c r="E3" s="22"/>
      <c r="F3" s="22"/>
      <c r="G3" s="22"/>
      <c r="H3" s="22"/>
    </row>
    <row r="4" spans="1:8">
      <c r="A4" s="1" t="s">
        <v>189</v>
      </c>
      <c r="B4" s="22" t="s">
        <v>255</v>
      </c>
      <c r="C4" s="22"/>
      <c r="D4" s="22"/>
      <c r="E4" s="22"/>
      <c r="F4" s="22"/>
      <c r="G4" s="22"/>
      <c r="H4" s="22"/>
    </row>
    <row r="7" spans="1:8">
      <c r="A7" s="3" t="s">
        <v>256</v>
      </c>
      <c r="B7" s="3" t="s">
        <v>257</v>
      </c>
      <c r="C7" s="3" t="s">
        <v>258</v>
      </c>
      <c r="D7" s="3" t="s">
        <v>259</v>
      </c>
      <c r="E7" s="3" t="s">
        <v>260</v>
      </c>
      <c r="F7" s="3" t="s">
        <v>88</v>
      </c>
    </row>
    <row r="8" spans="1:8">
      <c r="A8" s="4" t="s">
        <v>261</v>
      </c>
      <c r="B8" s="16">
        <v>2400</v>
      </c>
      <c r="C8" s="16">
        <v>216</v>
      </c>
      <c r="D8" s="16">
        <f>B8-C8</f>
        <v>2184</v>
      </c>
      <c r="E8" s="17">
        <f>C8/B8</f>
        <v>0.09</v>
      </c>
      <c r="F8" s="4" t="s">
        <v>227</v>
      </c>
    </row>
    <row r="9" spans="1:8">
      <c r="A9" s="4" t="s">
        <v>262</v>
      </c>
      <c r="B9" s="16">
        <v>2500</v>
      </c>
      <c r="C9" s="16">
        <v>275</v>
      </c>
      <c r="D9" s="16">
        <f>B9-C9</f>
        <v>2225</v>
      </c>
      <c r="E9" s="17">
        <f>C9/B9</f>
        <v>0.11</v>
      </c>
      <c r="F9" s="4" t="s">
        <v>263</v>
      </c>
    </row>
    <row r="10" spans="1:8">
      <c r="A10" s="4"/>
      <c r="B10" s="4"/>
      <c r="C10" s="4"/>
      <c r="D10" s="4"/>
      <c r="E10" s="4"/>
      <c r="F10" s="4"/>
    </row>
    <row r="11" spans="1:8">
      <c r="A11" s="4"/>
      <c r="B11" s="4"/>
      <c r="C11" s="4"/>
      <c r="D11" s="4"/>
      <c r="E11" s="4"/>
      <c r="F11" s="4"/>
    </row>
    <row r="12" spans="1:8">
      <c r="A12" s="3" t="s">
        <v>195</v>
      </c>
      <c r="B12" s="3" t="s">
        <v>196</v>
      </c>
      <c r="C12" s="3" t="s">
        <v>197</v>
      </c>
      <c r="D12" s="3" t="s">
        <v>264</v>
      </c>
      <c r="E12" s="4"/>
      <c r="F12" s="4"/>
    </row>
    <row r="13" spans="1:8">
      <c r="A13" s="4" t="s">
        <v>265</v>
      </c>
      <c r="B13" s="17">
        <f>E8</f>
        <v>0.09</v>
      </c>
      <c r="C13" s="4" t="s">
        <v>266</v>
      </c>
      <c r="D13" s="10" t="s">
        <v>267</v>
      </c>
      <c r="E13" s="4"/>
      <c r="F13" s="4"/>
    </row>
    <row r="14" spans="1:8">
      <c r="A14" s="4" t="s">
        <v>268</v>
      </c>
      <c r="B14" s="17">
        <f>E9</f>
        <v>0.11</v>
      </c>
      <c r="C14" s="4" t="s">
        <v>269</v>
      </c>
      <c r="D14" s="10" t="s">
        <v>267</v>
      </c>
      <c r="E14" s="4"/>
      <c r="F14" s="4"/>
    </row>
    <row r="15" spans="1:8">
      <c r="A15" s="4" t="s">
        <v>270</v>
      </c>
      <c r="B15" s="17">
        <f>E9-E8</f>
        <v>2.0000000000000004E-2</v>
      </c>
      <c r="C15" s="4" t="s">
        <v>271</v>
      </c>
      <c r="D15" s="10" t="s">
        <v>272</v>
      </c>
      <c r="E15" s="4"/>
      <c r="F15" s="4"/>
    </row>
    <row r="16" spans="1:8">
      <c r="A16" s="4" t="s">
        <v>273</v>
      </c>
      <c r="B16" s="17">
        <f>(E9-E8)/E8</f>
        <v>0.22222222222222227</v>
      </c>
      <c r="C16" s="4" t="s">
        <v>274</v>
      </c>
      <c r="D16" s="10" t="s">
        <v>275</v>
      </c>
      <c r="E16" s="4"/>
      <c r="F16" s="4"/>
    </row>
    <row r="17" spans="1:6">
      <c r="A17" s="4" t="s">
        <v>276</v>
      </c>
      <c r="B17" s="14">
        <f>(C8+C9)/(B8+B9)</f>
        <v>0.10020408163265306</v>
      </c>
      <c r="C17" s="4" t="s">
        <v>277</v>
      </c>
      <c r="D17" s="10" t="s">
        <v>278</v>
      </c>
      <c r="E17" s="4"/>
      <c r="F17" s="4"/>
    </row>
    <row r="18" spans="1:6">
      <c r="A18" s="4" t="s">
        <v>279</v>
      </c>
      <c r="B18" s="14">
        <f>SQRT(B17*(1-B17)*(1/B8+1/B9))</f>
        <v>8.5809847523304634E-3</v>
      </c>
      <c r="C18" s="4" t="s">
        <v>280</v>
      </c>
      <c r="D18" s="10" t="s">
        <v>281</v>
      </c>
      <c r="E18" s="4"/>
      <c r="F18" s="4"/>
    </row>
    <row r="19" spans="1:6">
      <c r="A19" s="4" t="s">
        <v>282</v>
      </c>
      <c r="B19" s="14">
        <f>(E9-E8)/B18</f>
        <v>2.3307348255767861</v>
      </c>
      <c r="C19" s="4" t="s">
        <v>283</v>
      </c>
      <c r="D19" s="10" t="s">
        <v>284</v>
      </c>
      <c r="E19" s="4"/>
      <c r="F19" s="4"/>
    </row>
    <row r="20" spans="1:6">
      <c r="A20" s="4" t="s">
        <v>210</v>
      </c>
      <c r="B20" s="14" t="e">
        <f ca="1">1-_xludf.NORM.S.DIST(B19,TRUE)</f>
        <v>#NAME?</v>
      </c>
      <c r="C20" s="4" t="s">
        <v>285</v>
      </c>
      <c r="D20" s="10" t="s">
        <v>286</v>
      </c>
      <c r="E20" s="4"/>
      <c r="F20" s="4"/>
    </row>
    <row r="21" spans="1:6">
      <c r="A21" s="4" t="s">
        <v>212</v>
      </c>
      <c r="B21" s="14" t="e">
        <f ca="1">2*(1-_xludf.NORM.S.DIST(ABS(B19),TRUE))</f>
        <v>#NAME?</v>
      </c>
      <c r="C21" s="4" t="s">
        <v>239</v>
      </c>
      <c r="D21" s="10" t="s">
        <v>287</v>
      </c>
      <c r="E21" s="4"/>
      <c r="F21" s="4"/>
    </row>
    <row r="22" spans="1:6" ht="27.6">
      <c r="A22" s="4" t="s">
        <v>288</v>
      </c>
      <c r="B22" s="18">
        <f>(E9-E8)*B9</f>
        <v>50.000000000000007</v>
      </c>
      <c r="C22" s="4" t="s">
        <v>289</v>
      </c>
      <c r="D22" s="10" t="s">
        <v>290</v>
      </c>
      <c r="E22" s="4"/>
      <c r="F22" s="4"/>
    </row>
  </sheetData>
  <mergeCells count="3">
    <mergeCell ref="A1:H1"/>
    <mergeCell ref="B3:H3"/>
    <mergeCell ref="B4:H4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3.8"/>
  <cols>
    <col min="1" max="1" width="22" customWidth="1"/>
    <col min="2" max="2" width="16" customWidth="1"/>
    <col min="3" max="3" width="40" customWidth="1"/>
    <col min="4" max="4" width="35" customWidth="1"/>
    <col min="5" max="5" width="12" customWidth="1"/>
  </cols>
  <sheetData>
    <row r="1" spans="1:8" ht="14.4" customHeight="1">
      <c r="A1" s="24" t="s">
        <v>291</v>
      </c>
      <c r="B1" s="25"/>
      <c r="C1" s="25"/>
      <c r="D1" s="25"/>
      <c r="E1" s="25"/>
      <c r="F1" s="25"/>
      <c r="G1" s="25"/>
      <c r="H1" s="25"/>
    </row>
    <row r="3" spans="1:8">
      <c r="A3" s="1" t="s">
        <v>188</v>
      </c>
      <c r="B3" s="22" t="s">
        <v>292</v>
      </c>
      <c r="C3" s="22"/>
      <c r="D3" s="22"/>
      <c r="E3" s="22"/>
      <c r="F3" s="22"/>
      <c r="G3" s="22"/>
      <c r="H3" s="22"/>
    </row>
    <row r="4" spans="1:8">
      <c r="A4" s="1" t="s">
        <v>189</v>
      </c>
      <c r="B4" s="22" t="s">
        <v>293</v>
      </c>
      <c r="C4" s="22"/>
      <c r="D4" s="22"/>
      <c r="E4" s="22"/>
      <c r="F4" s="22"/>
      <c r="G4" s="22"/>
      <c r="H4" s="22"/>
    </row>
    <row r="7" spans="1:8">
      <c r="A7" s="3" t="s">
        <v>294</v>
      </c>
      <c r="B7" s="3" t="s">
        <v>295</v>
      </c>
      <c r="C7" s="3" t="s">
        <v>296</v>
      </c>
      <c r="D7" s="3" t="s">
        <v>297</v>
      </c>
      <c r="E7" s="3" t="s">
        <v>298</v>
      </c>
    </row>
    <row r="8" spans="1:8">
      <c r="A8" s="4" t="s">
        <v>299</v>
      </c>
      <c r="B8" s="19">
        <v>18</v>
      </c>
      <c r="C8" s="19">
        <v>42</v>
      </c>
      <c r="D8" s="19">
        <v>10</v>
      </c>
      <c r="E8" s="19">
        <f>SUM(B8:D8)</f>
        <v>70</v>
      </c>
    </row>
    <row r="9" spans="1:8">
      <c r="A9" s="4" t="s">
        <v>300</v>
      </c>
      <c r="B9" s="19">
        <v>35</v>
      </c>
      <c r="C9" s="19">
        <v>20</v>
      </c>
      <c r="D9" s="19">
        <v>15</v>
      </c>
      <c r="E9" s="19">
        <f>SUM(B9:D9)</f>
        <v>70</v>
      </c>
    </row>
    <row r="10" spans="1:8">
      <c r="A10" s="4" t="s">
        <v>301</v>
      </c>
      <c r="B10" s="19">
        <f>SUM(B8:B9)</f>
        <v>53</v>
      </c>
      <c r="C10" s="19">
        <f>SUM(C8:C9)</f>
        <v>62</v>
      </c>
      <c r="D10" s="19">
        <f>SUM(D8:D9)</f>
        <v>25</v>
      </c>
      <c r="E10" s="19">
        <f>SUM(E8:E9)</f>
        <v>140</v>
      </c>
    </row>
    <row r="11" spans="1:8">
      <c r="A11" s="4"/>
      <c r="B11" s="4"/>
      <c r="C11" s="4"/>
      <c r="D11" s="4"/>
      <c r="E11" s="4"/>
    </row>
    <row r="12" spans="1:8">
      <c r="A12" s="4"/>
      <c r="B12" s="4"/>
      <c r="C12" s="4"/>
      <c r="D12" s="4"/>
      <c r="E12" s="4"/>
    </row>
    <row r="13" spans="1:8">
      <c r="A13" s="3" t="s">
        <v>302</v>
      </c>
      <c r="B13" s="3" t="s">
        <v>295</v>
      </c>
      <c r="C13" s="3" t="s">
        <v>296</v>
      </c>
      <c r="D13" s="3" t="s">
        <v>297</v>
      </c>
      <c r="E13" s="3" t="s">
        <v>298</v>
      </c>
    </row>
    <row r="14" spans="1:8">
      <c r="A14" s="4" t="s">
        <v>299</v>
      </c>
      <c r="B14" s="9">
        <f t="shared" ref="B14:D15" si="0">$E8*B$10/$E$10</f>
        <v>26.5</v>
      </c>
      <c r="C14" s="9">
        <f t="shared" si="0"/>
        <v>31</v>
      </c>
      <c r="D14" s="9">
        <f t="shared" si="0"/>
        <v>12.5</v>
      </c>
      <c r="E14" s="9">
        <f>SUM(B14:D14)</f>
        <v>70</v>
      </c>
    </row>
    <row r="15" spans="1:8">
      <c r="A15" s="4" t="s">
        <v>300</v>
      </c>
      <c r="B15" s="9">
        <f t="shared" si="0"/>
        <v>26.5</v>
      </c>
      <c r="C15" s="9">
        <f t="shared" si="0"/>
        <v>31</v>
      </c>
      <c r="D15" s="9">
        <f t="shared" si="0"/>
        <v>12.5</v>
      </c>
      <c r="E15" s="9">
        <f>SUM(B15:D15)</f>
        <v>70</v>
      </c>
    </row>
    <row r="16" spans="1:8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3" t="s">
        <v>195</v>
      </c>
      <c r="B18" s="3" t="s">
        <v>196</v>
      </c>
      <c r="C18" s="3" t="s">
        <v>197</v>
      </c>
      <c r="D18" s="3" t="s">
        <v>264</v>
      </c>
      <c r="E18" s="4"/>
    </row>
    <row r="19" spans="1:5">
      <c r="A19" s="4" t="s">
        <v>303</v>
      </c>
      <c r="B19" s="14">
        <f>E10</f>
        <v>140</v>
      </c>
      <c r="C19" s="4" t="s">
        <v>304</v>
      </c>
      <c r="D19" s="10" t="s">
        <v>305</v>
      </c>
      <c r="E19" s="4"/>
    </row>
    <row r="20" spans="1:5">
      <c r="A20" s="4" t="s">
        <v>306</v>
      </c>
      <c r="B20" s="14">
        <f>MIN(B14:D15)</f>
        <v>12.5</v>
      </c>
      <c r="C20" s="4" t="s">
        <v>307</v>
      </c>
      <c r="D20" s="10" t="s">
        <v>308</v>
      </c>
      <c r="E20" s="4"/>
    </row>
    <row r="21" spans="1:5">
      <c r="A21" s="4" t="s">
        <v>309</v>
      </c>
      <c r="B21" s="14" t="e">
        <f ca="1">_xludf.CHISQ.TEST(B8:D9,B14:D15)</f>
        <v>#NAME?</v>
      </c>
      <c r="C21" s="4" t="s">
        <v>310</v>
      </c>
      <c r="D21" s="10" t="s">
        <v>311</v>
      </c>
      <c r="E21" s="4"/>
    </row>
  </sheetData>
  <mergeCells count="3">
    <mergeCell ref="A1:H1"/>
    <mergeCell ref="B3:H3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Prompt_Bank</vt:lpstr>
      <vt:lpstr>Answer_Key</vt:lpstr>
      <vt:lpstr>Descriptive_Data</vt:lpstr>
      <vt:lpstr>Trend_Outliers</vt:lpstr>
      <vt:lpstr>TTest_Independent</vt:lpstr>
      <vt:lpstr>Paired_TTest</vt:lpstr>
      <vt:lpstr>Proportion_Test</vt:lpstr>
      <vt:lpstr>ChiSquare_Test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Zapata</cp:lastModifiedBy>
  <dcterms:modified xsi:type="dcterms:W3CDTF">2026-06-26T15:21:07Z</dcterms:modified>
</cp:coreProperties>
</file>