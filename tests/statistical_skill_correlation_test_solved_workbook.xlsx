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GitHub Projects\statistical-analysis-skill\tests\"/>
    </mc:Choice>
  </mc:AlternateContent>
  <xr:revisionPtr revIDLastSave="0" documentId="8_{97569FC7-4AF4-43D4-813D-0AD64E54C7B9}" xr6:coauthVersionLast="47" xr6:coauthVersionMax="47" xr10:uidLastSave="{00000000-0000-0000-0000-000000000000}"/>
  <bookViews>
    <workbookView xWindow="-28935" yWindow="-75" windowWidth="29070" windowHeight="15870" firstSheet="2" activeTab="7" xr2:uid="{00000000-000D-0000-FFFF-FFFF00000000}"/>
  </bookViews>
  <sheets>
    <sheet name="README" sheetId="1" r:id="rId1"/>
    <sheet name="Prompt_Bank" sheetId="2" r:id="rId2"/>
    <sheet name="Answer_Key" sheetId="3" r:id="rId3"/>
    <sheet name="Pearson_Linear" sheetId="4" r:id="rId4"/>
    <sheet name="Spearman_Rank" sheetId="5" r:id="rId5"/>
    <sheet name="Binary_Numeric" sheetId="6" r:id="rId6"/>
    <sheet name="Categorical_Not_Corr" sheetId="7" r:id="rId7"/>
    <sheet name="Regression_Prediction" sheetId="8" r:id="rId8"/>
  </sheets>
  <calcPr calcId="181029"/>
</workbook>
</file>

<file path=xl/calcChain.xml><?xml version="1.0" encoding="utf-8"?>
<calcChain xmlns="http://schemas.openxmlformats.org/spreadsheetml/2006/main">
  <c r="K29" i="8" l="1"/>
  <c r="I29" i="8"/>
  <c r="J30" i="8" s="1"/>
  <c r="I28" i="8"/>
  <c r="I27" i="8"/>
  <c r="K26" i="8"/>
  <c r="I26" i="8"/>
  <c r="I24" i="8"/>
  <c r="K23" i="8"/>
  <c r="I23" i="8"/>
  <c r="K22" i="8"/>
  <c r="I22" i="8"/>
  <c r="K21" i="8"/>
  <c r="I21" i="8"/>
  <c r="K20" i="8"/>
  <c r="I20" i="8"/>
  <c r="K19" i="8"/>
  <c r="I19" i="8"/>
  <c r="I24" i="7"/>
  <c r="H24" i="7"/>
  <c r="J23" i="7"/>
  <c r="H23" i="7"/>
  <c r="J22" i="7"/>
  <c r="H22" i="7"/>
  <c r="J21" i="7"/>
  <c r="H21" i="7"/>
  <c r="J20" i="7"/>
  <c r="H20" i="7"/>
  <c r="J19" i="7"/>
  <c r="I19" i="7"/>
  <c r="H19" i="7"/>
  <c r="J18" i="7"/>
  <c r="H18" i="7"/>
  <c r="J29" i="6"/>
  <c r="I29" i="6"/>
  <c r="K28" i="6"/>
  <c r="I28" i="6"/>
  <c r="K27" i="6"/>
  <c r="I27" i="6"/>
  <c r="K26" i="6"/>
  <c r="I26" i="6"/>
  <c r="K25" i="6"/>
  <c r="I25" i="6"/>
  <c r="K24" i="6"/>
  <c r="I24" i="6"/>
  <c r="K23" i="6"/>
  <c r="I23" i="6"/>
  <c r="K22" i="6"/>
  <c r="I22" i="6"/>
  <c r="K21" i="6"/>
  <c r="I21" i="6"/>
  <c r="K20" i="6"/>
  <c r="I20" i="6"/>
  <c r="J23" i="5"/>
  <c r="J24" i="5" s="1"/>
  <c r="J22" i="5"/>
  <c r="L21" i="5"/>
  <c r="J21" i="5"/>
  <c r="L18" i="5"/>
  <c r="J18" i="5"/>
  <c r="U9" i="5"/>
  <c r="U8" i="5"/>
  <c r="U7" i="5"/>
  <c r="U6" i="5"/>
  <c r="U5" i="5"/>
  <c r="U4" i="5"/>
  <c r="R8" i="5"/>
  <c r="R7" i="5"/>
  <c r="R6" i="5"/>
  <c r="R5" i="5"/>
  <c r="R4" i="5"/>
  <c r="I30" i="4"/>
  <c r="I29" i="4"/>
  <c r="I28" i="4"/>
  <c r="I27" i="4"/>
  <c r="I26" i="4"/>
  <c r="I25" i="4"/>
  <c r="K13" i="8"/>
  <c r="I13" i="8"/>
  <c r="K12" i="8"/>
  <c r="K11" i="8"/>
  <c r="K10" i="8"/>
  <c r="K9" i="8"/>
  <c r="J10" i="7"/>
  <c r="J9" i="7"/>
  <c r="H9" i="7"/>
  <c r="I12" i="6"/>
  <c r="F21" i="5"/>
  <c r="E21" i="5"/>
  <c r="F20" i="5"/>
  <c r="E20" i="5"/>
  <c r="F19" i="5"/>
  <c r="E19" i="5"/>
  <c r="F18" i="5"/>
  <c r="E18" i="5"/>
  <c r="F17" i="5"/>
  <c r="E17" i="5"/>
  <c r="F16" i="5"/>
  <c r="E16" i="5"/>
  <c r="F15" i="5"/>
  <c r="E15" i="5"/>
  <c r="F14" i="5"/>
  <c r="E14" i="5"/>
  <c r="F13" i="5"/>
  <c r="E13" i="5"/>
  <c r="F12" i="5"/>
  <c r="E12" i="5"/>
  <c r="F11" i="5"/>
  <c r="E11" i="5"/>
  <c r="F10" i="5"/>
  <c r="E10" i="5"/>
  <c r="F9" i="5"/>
  <c r="E9" i="5"/>
  <c r="L10" i="5"/>
  <c r="L9" i="5"/>
  <c r="F8" i="5"/>
  <c r="E8" i="5"/>
  <c r="I30" i="8" l="1"/>
  <c r="K25" i="5"/>
  <c r="J25" i="5"/>
  <c r="I12" i="8" l="1"/>
  <c r="I11" i="8"/>
  <c r="I10" i="8"/>
  <c r="I9" i="8"/>
  <c r="D11" i="7"/>
  <c r="C11" i="7"/>
  <c r="C17" i="7" s="1"/>
  <c r="B11" i="7"/>
  <c r="E10" i="7"/>
  <c r="E9" i="7"/>
  <c r="E8" i="7"/>
  <c r="E11" i="7" s="1"/>
  <c r="I11" i="6"/>
  <c r="I10" i="6"/>
  <c r="I9" i="6"/>
  <c r="J10" i="5"/>
  <c r="J9" i="5"/>
  <c r="I12" i="4"/>
  <c r="I11" i="4"/>
  <c r="I10" i="4"/>
  <c r="I9" i="4"/>
  <c r="J11" i="5" l="1"/>
  <c r="L11" i="5"/>
  <c r="D17" i="7"/>
  <c r="B17" i="7"/>
  <c r="E17" i="7" s="1"/>
  <c r="D15" i="7"/>
  <c r="D16" i="7"/>
  <c r="C15" i="7"/>
  <c r="C16" i="7"/>
  <c r="B15" i="7"/>
  <c r="B16" i="7"/>
  <c r="E16" i="7" s="1"/>
  <c r="E15" i="7" l="1"/>
  <c r="H10" i="7"/>
</calcChain>
</file>

<file path=xl/sharedStrings.xml><?xml version="1.0" encoding="utf-8"?>
<sst xmlns="http://schemas.openxmlformats.org/spreadsheetml/2006/main" count="593" uniqueCount="364">
  <si>
    <t>Correlation Skill Test Workbook</t>
  </si>
  <si>
    <t>Purpose</t>
  </si>
  <si>
    <t>This workbook tests the new correlation-analysis section of the ChatGPT-in-Excel statistical analysis skill.</t>
  </si>
  <si>
    <t>How to use it</t>
  </si>
  <si>
    <t>Open one scenario sheet at a time, then paste the matching prompt from Prompt_Bank into ChatGPT in Excel. Compare the response against Answer_Key.</t>
  </si>
  <si>
    <t>Important</t>
  </si>
  <si>
    <t>The goal is not only to calculate a coefficient. The skill should identify whether correlation is appropriate, choose Pearson or Spearman when needed, warn about causation limits, and redirect to chi-squared or regression when correlation is not the best method.</t>
  </si>
  <si>
    <t>Sheet</t>
  </si>
  <si>
    <t>Main test</t>
  </si>
  <si>
    <t>Metric type</t>
  </si>
  <si>
    <t>Expected method</t>
  </si>
  <si>
    <t>Deliberate trap</t>
  </si>
  <si>
    <t>Business point</t>
  </si>
  <si>
    <t>Pearson_Linear</t>
  </si>
  <si>
    <t>Two numeric variables with roughly linear relationship</t>
  </si>
  <si>
    <t>Continuous numeric</t>
  </si>
  <si>
    <t>Pearson correlation</t>
  </si>
  <si>
    <t>Do not imply causation</t>
  </si>
  <si>
    <t>Marketing spend and sales may move together, but other drivers may exist</t>
  </si>
  <si>
    <t>Spearman_Rank</t>
  </si>
  <si>
    <t>Ordinal/skewed monotonic relationship</t>
  </si>
  <si>
    <t>Ordinal + numeric</t>
  </si>
  <si>
    <t>Spearman correlation</t>
  </si>
  <si>
    <t>Pearson may understate or distort ordinal/skewed relationships</t>
  </si>
  <si>
    <t>Customer effort may align with churn risk</t>
  </si>
  <si>
    <t>Binary_Numeric</t>
  </si>
  <si>
    <t>Binary variable vs numeric variable</t>
  </si>
  <si>
    <t>0/1 flag + numeric</t>
  </si>
  <si>
    <t>Point-biserial correlation or group comparison</t>
  </si>
  <si>
    <t>Correlation is possible but may not be the clearest business answer</t>
  </si>
  <si>
    <t>Premium support customers may have different revenue</t>
  </si>
  <si>
    <t>Categorical_Not_Corr</t>
  </si>
  <si>
    <t>Two categorical variables</t>
  </si>
  <si>
    <t>Categorical counts</t>
  </si>
  <si>
    <t>Chi-squared test, not correlation</t>
  </si>
  <si>
    <t>Do not force correlation on categories</t>
  </si>
  <si>
    <t>Complaint type may be associated with product category</t>
  </si>
  <si>
    <t>Regression_Prediction</t>
  </si>
  <si>
    <t>Prediction or driver analysis</t>
  </si>
  <si>
    <t>Numeric predictor + numeric outcome</t>
  </si>
  <si>
    <t>Regression, not correlation alone</t>
  </si>
  <si>
    <t>Correlation is not enough when the goal is prediction</t>
  </si>
  <si>
    <t>Ad spend can be used to estimate revenue with caution</t>
  </si>
  <si>
    <t>Prompt Bank for Testing Correlation Analysis</t>
  </si>
  <si>
    <t>Test area</t>
  </si>
  <si>
    <t>Business situation</t>
  </si>
  <si>
    <t>Sheet to use</t>
  </si>
  <si>
    <t>Prompt to paste</t>
  </si>
  <si>
    <t>What a good answer should include</t>
  </si>
  <si>
    <t>Difficulty</t>
  </si>
  <si>
    <t>Marketing team wants to know whether monthly campaign spend moves with sales.</t>
  </si>
  <si>
    <t>Analyze whether Marketing_Spend_USD and Sales_Revenue_USD move together. Choose the right correlation method, check assumptions, and give a business interpretation.</t>
  </si>
  <si>
    <t>Pearson correlation, scatterplot recommendation, direction/strength, no causal claim, next step by campaign or seasonality.</t>
  </si>
  <si>
    <t>Easy</t>
  </si>
  <si>
    <t>Customer success team wants to know whether higher effort scores align with churn risk.</t>
  </si>
  <si>
    <t>Analyze the relationship between Customer_Effort_1_to_5 and Churn_Risk_Percent. Explain whether Pearson or Spearman is more appropriate.</t>
  </si>
  <si>
    <t>Spearman because effort score is ordinal and relationship is monotonic/skewed; direction, strength, cautions, business recommendation.</t>
  </si>
  <si>
    <t>Medium</t>
  </si>
  <si>
    <t>Binary vs numeric</t>
  </si>
  <si>
    <t>Operations wants to know whether premium-support customers have higher monthly revenue.</t>
  </si>
  <si>
    <t>Analyze whether Premium_Support_Flag is associated with Monthly_Revenue_USD. Should this be treated as a normal correlation question?</t>
  </si>
  <si>
    <t>Recognize binary numeric case; point-biserial possible via encoded 0/1, but group comparison/t-test may be clearer; compare means.</t>
  </si>
  <si>
    <t>Categorical association</t>
  </si>
  <si>
    <t>Product team wants to know whether complaint type is related to product category.</t>
  </si>
  <si>
    <t>Are Product_Category and Complaint_Type correlated? If not, choose the right method and explain the business meaning.</t>
  </si>
  <si>
    <t>Do not use correlation; use chi-squared test of independence; actual/expected counts; association not causation.</t>
  </si>
  <si>
    <t>Regression redirect</t>
  </si>
  <si>
    <t>Commercial team wants to predict revenue from advertising spend.</t>
  </si>
  <si>
    <t>Can we use Ad_Spend_USD to predict Sales_Revenue_USD? Start with correlation if helpful, but recommend the right method for prediction.</t>
  </si>
  <si>
    <t>Correlation as first diagnostic; regression is better for prediction; slope/intercept/R-squared; limitations and next step.</t>
  </si>
  <si>
    <t>Answer Key / Expected Interpretation</t>
  </si>
  <si>
    <t>Question type</t>
  </si>
  <si>
    <t>Expected conclusion</t>
  </si>
  <si>
    <t>Caution / what the skill should say</t>
  </si>
  <si>
    <t>Business interpretation</t>
  </si>
  <si>
    <t>Two numeric variables</t>
  </si>
  <si>
    <t>Strong positive association expected between marketing spend and sales.</t>
  </si>
  <si>
    <t>Correlation does not prove marketing caused sales; review scatterplot, seasonality, and campaign mix.</t>
  </si>
  <si>
    <t>Higher spend periods tend to coincide with higher sales; investigate drivers before reallocating budget.</t>
  </si>
  <si>
    <t>Higher customer effort should align with higher churn risk.</t>
  </si>
  <si>
    <t>Effort score is ordinal, so Spearman is more appropriate than default Pearson.</t>
  </si>
  <si>
    <t>Customers reporting more effort appear riskier; prioritize friction reduction.</t>
  </si>
  <si>
    <t>Binary flag vs numeric outcome</t>
  </si>
  <si>
    <t>Premium-support customers likely show higher average revenue.</t>
  </si>
  <si>
    <t>A group comparison may be clearer than calling this a standard correlation problem.</t>
  </si>
  <si>
    <t>Premium support is associated with higher revenue, but plan tier or company size may confound the result.</t>
  </si>
  <si>
    <t>Chi-squared test of independence</t>
  </si>
  <si>
    <t>Complaint type should appear associated with product category.</t>
  </si>
  <si>
    <t>This is not a correlation problem. Use actual vs expected counts and avoid causal claims.</t>
  </si>
  <si>
    <t>Quality complaints are concentrated in one category; investigate process or expectations.</t>
  </si>
  <si>
    <t>Prediction / driver analysis</t>
  </si>
  <si>
    <t>Regression</t>
  </si>
  <si>
    <t>Ad spend and revenue should be strongly related, but prediction requires regression.</t>
  </si>
  <si>
    <t>Correlation alone cannot estimate expected revenue change per dollar of ad spend.</t>
  </si>
  <si>
    <t>Use regression to estimate revenue impact, then validate with holdout periods or experiments.</t>
  </si>
  <si>
    <t>Correlation Scenario 1: Pearson Correlation</t>
  </si>
  <si>
    <t>Business question</t>
  </si>
  <si>
    <t>Does higher monthly marketing spend tend to move with higher sales revenue?</t>
  </si>
  <si>
    <t>Design note</t>
  </si>
  <si>
    <t>Month_N</t>
  </si>
  <si>
    <t>Marketing_Spend_USD</t>
  </si>
  <si>
    <t>Sales_Revenue_USD</t>
  </si>
  <si>
    <t>Campaign_Type</t>
  </si>
  <si>
    <t>Season</t>
  </si>
  <si>
    <t>Analyst_Note</t>
  </si>
  <si>
    <t>Formula check</t>
  </si>
  <si>
    <t>Value</t>
  </si>
  <si>
    <t>Interpretation</t>
  </si>
  <si>
    <t>Search</t>
  </si>
  <si>
    <t>Q1</t>
  </si>
  <si>
    <t>Baseline</t>
  </si>
  <si>
    <t>Excel formula</t>
  </si>
  <si>
    <t>n periods</t>
  </si>
  <si>
    <t>Sample size</t>
  </si>
  <si>
    <t>Social</t>
  </si>
  <si>
    <t>Pearson r</t>
  </si>
  <si>
    <t>Q2</t>
  </si>
  <si>
    <t>Excel PEARSON</t>
  </si>
  <si>
    <t>Email</t>
  </si>
  <si>
    <t>R-squared</t>
  </si>
  <si>
    <t>Q3</t>
  </si>
  <si>
    <t>Promo</t>
  </si>
  <si>
    <t>Q4</t>
  </si>
  <si>
    <t>Holiday</t>
  </si>
  <si>
    <t>Correlation Scenario 2: Spearman Correlation</t>
  </si>
  <si>
    <t>Does higher customer effort align with higher churn risk?</t>
  </si>
  <si>
    <t>Customer_ID</t>
  </si>
  <si>
    <t>Customer_Effort_1_to_5</t>
  </si>
  <si>
    <t>Churn_Risk_Percent</t>
  </si>
  <si>
    <t>Segment</t>
  </si>
  <si>
    <t>Rank_Effort</t>
  </si>
  <si>
    <t>Rank_Churn_Risk</t>
  </si>
  <si>
    <t>C001</t>
  </si>
  <si>
    <t>Enterprise</t>
  </si>
  <si>
    <t>Very low friction</t>
  </si>
  <si>
    <t>C002</t>
  </si>
  <si>
    <t>SMB</t>
  </si>
  <si>
    <t>n customers</t>
  </si>
  <si>
    <t>C003</t>
  </si>
  <si>
    <t>Low friction</t>
  </si>
  <si>
    <t>Available, but not preferred</t>
  </si>
  <si>
    <t>C004</t>
  </si>
  <si>
    <t>Consumer</t>
  </si>
  <si>
    <t>Spearman rho</t>
  </si>
  <si>
    <t>Expected: strong positive monotonic association</t>
  </si>
  <si>
    <t>C005</t>
  </si>
  <si>
    <t>C006</t>
  </si>
  <si>
    <t>Moderate friction</t>
  </si>
  <si>
    <t>C007</t>
  </si>
  <si>
    <t>C008</t>
  </si>
  <si>
    <t>C009</t>
  </si>
  <si>
    <t>High friction</t>
  </si>
  <si>
    <t>C010</t>
  </si>
  <si>
    <t>C011</t>
  </si>
  <si>
    <t>C012</t>
  </si>
  <si>
    <t>Very high friction</t>
  </si>
  <si>
    <t>C013</t>
  </si>
  <si>
    <t>C014</t>
  </si>
  <si>
    <t>Correlation Scenario 3: Binary Variable vs Numeric Outcome</t>
  </si>
  <si>
    <t>Are premium-support customers associated with higher monthly revenue?</t>
  </si>
  <si>
    <t>Premium_Support_Flag is encoded 0/1. A point-biserial correlation can be computed with CORREL, but the skill should explain that a group comparison may be clearer.</t>
  </si>
  <si>
    <t>Premium_Support_Flag</t>
  </si>
  <si>
    <t>Monthly_Revenue_USD</t>
  </si>
  <si>
    <t>Plan_Tier</t>
  </si>
  <si>
    <t>Company_Size</t>
  </si>
  <si>
    <t>Standard</t>
  </si>
  <si>
    <t>Small</t>
  </si>
  <si>
    <t>No premium support</t>
  </si>
  <si>
    <t>Point-biserial via CORREL</t>
  </si>
  <si>
    <t>Association between 0/1 flag and revenue</t>
  </si>
  <si>
    <t>Mean revenue, no premium</t>
  </si>
  <si>
    <t>Group mean comparison</t>
  </si>
  <si>
    <t>Mean revenue, premium</t>
  </si>
  <si>
    <t>Difference</t>
  </si>
  <si>
    <t>Premium minus non-premium</t>
  </si>
  <si>
    <t>Premium</t>
  </si>
  <si>
    <t>Premium support</t>
  </si>
  <si>
    <t>Large</t>
  </si>
  <si>
    <t>Correlation Scenario 4: Categorical Variables Are Not Correlation</t>
  </si>
  <si>
    <t>Are complaint types associated with product category?</t>
  </si>
  <si>
    <t>Both variables are categorical. The skill should reject a standard correlation framing and use a chi-squared test of independence.</t>
  </si>
  <si>
    <t>Delivery</t>
  </si>
  <si>
    <t>Quality</t>
  </si>
  <si>
    <t>Billing</t>
  </si>
  <si>
    <t>Row Total</t>
  </si>
  <si>
    <t>Chemicals</t>
  </si>
  <si>
    <t>Physical</t>
  </si>
  <si>
    <t>Chi-squared p-value</t>
  </si>
  <si>
    <t>Expected: use chi-squared, not correlation</t>
  </si>
  <si>
    <t>Digital</t>
  </si>
  <si>
    <t>All expected counts &gt;= 5?</t>
  </si>
  <si>
    <t>Assumption check</t>
  </si>
  <si>
    <t>Column Total</t>
  </si>
  <si>
    <t>Expected counts</t>
  </si>
  <si>
    <t>Correlation Scenario 5: Prediction Requires Regression</t>
  </si>
  <si>
    <t>Can advertising spend be used to predict sales revenue?</t>
  </si>
  <si>
    <t>Correlation is useful as a first diagnostic, but prediction requires regression because the business needs a slope, intercept, and expected revenue estimate.</t>
  </si>
  <si>
    <t>Ad_Spend_USD</t>
  </si>
  <si>
    <t>Holiday_Flag</t>
  </si>
  <si>
    <t>Promo_Flag</t>
  </si>
  <si>
    <t>First diagnostic only</t>
  </si>
  <si>
    <t>Regression fit indicator</t>
  </si>
  <si>
    <t>Slope</t>
  </si>
  <si>
    <t>Revenue change per $1 ad spend</t>
  </si>
  <si>
    <t>Intercept</t>
  </si>
  <si>
    <t>Estimated baseline</t>
  </si>
  <si>
    <t>Forecast at $28K spend</t>
  </si>
  <si>
    <t>Prediction example</t>
  </si>
  <si>
    <t>Question</t>
  </si>
  <si>
    <t>Both variables are continuous numeric metrics. The expected relationship is roughly linear</t>
  </si>
  <si>
    <t>Numerical calculations and</t>
  </si>
  <si>
    <t xml:space="preserve"> Statistical Analysis</t>
  </si>
  <si>
    <t>Correlation Analysis Summary</t>
  </si>
  <si>
    <t>Are Marketing_Spend_USD and Sales_Revenue_USD related?</t>
  </si>
  <si>
    <t>Variables compared</t>
  </si>
  <si>
    <t>Marketing spend (B8:B19) vs. sales revenue (C8:C19)</t>
  </si>
  <si>
    <t>Method used</t>
  </si>
  <si>
    <t>Pearson correlation; both selected variables are continuous numeric metrics and the relationship is approximately linear.</t>
  </si>
  <si>
    <t>t-statistic</t>
  </si>
  <si>
    <t>p-value</t>
  </si>
  <si>
    <t>Decision</t>
  </si>
  <si>
    <t>The selected variables are very strongly positively related: months with higher marketing spend also tend to have higher sales revenue.</t>
  </si>
  <si>
    <t>Caution</t>
  </si>
  <si>
    <t>Correlation does not prove marketing spend caused sales; seasonality, campaign mix, and promotions may also explain the pattern.</t>
  </si>
  <si>
    <t>Recommendation</t>
  </si>
  <si>
    <t>Review a scatterplot and segment by campaign type/season; use regression or an experiment if the goal is to estimate causal impact.</t>
  </si>
  <si>
    <t>Calculates the Pearson correlation between marketing spend (B8:B19) and sales revenue (C8:C19). The result near +1 means the two variables move together very strongly in the same direction.</t>
  </si>
  <si>
    <t>Uses Excel's PEARSON function on the same two ranges as CORREL. It is an equivalent check, so the result should match the Pearson r above.</t>
  </si>
  <si>
    <t>Calculates R-squared for sales revenue explained by marketing spend. This is the squared correlation and shows the share of sales variation explained by the linear relationship.</t>
  </si>
  <si>
    <t>Skew / Nonlinear Visual Guide</t>
  </si>
  <si>
    <t>Effort Score</t>
  </si>
  <si>
    <t>Avg Churn Risk</t>
  </si>
  <si>
    <t>Churn Risk Bucket</t>
  </si>
  <si>
    <t>Customer Count</t>
  </si>
  <si>
    <t>0-10</t>
  </si>
  <si>
    <t>21-40</t>
  </si>
  <si>
    <t>41-60</t>
  </si>
  <si>
    <t>61-80</t>
  </si>
  <si>
    <t>81+</t>
  </si>
  <si>
    <t>How to read the visuals</t>
  </si>
  <si>
    <t>Nonlinear pattern</t>
  </si>
  <si>
    <t>The average churn risk rises slowly at low effort scores, then jumps sharply at effort scores 4-5.</t>
  </si>
  <si>
    <t>Skewed distribution</t>
  </si>
  <si>
    <t>Most observations are in lower churn-risk buckets, with a smaller high-risk tail reaching 80%+.</t>
  </si>
  <si>
    <t>Why Spearman helps</t>
  </si>
  <si>
    <t>Spearman uses rank order, so it captures the monotonic relationship without requiring a perfectly straight-line pattern.</t>
  </si>
  <si>
    <t>Bottom line</t>
  </si>
  <si>
    <t>Higher effort generally means higher churn risk, but the increase is uneven rather than linear.</t>
  </si>
  <si>
    <t>11–20</t>
  </si>
  <si>
    <t>Numerical and statistical calculations</t>
  </si>
  <si>
    <t>Statistical Analysis Summary</t>
  </si>
  <si>
    <t>Are customer effort and churn risk related?</t>
  </si>
  <si>
    <t>Tests whether higher customer effort scores tend to align with higher churn risk.</t>
  </si>
  <si>
    <t>Customer_Effort_1_to_5 vs. Churn_Risk_Percent</t>
  </si>
  <si>
    <t>Effort score is ordinal; churn risk is numeric but uneven/nonlinear across effort levels.</t>
  </si>
  <si>
    <t>Spearman rank correlation</t>
  </si>
  <si>
    <t>Spearman is preferred because it uses rank order and does not require a perfectly linear relationship.</t>
  </si>
  <si>
    <t>No missing values in the selected two-column range.</t>
  </si>
  <si>
    <t>H0</t>
  </si>
  <si>
    <t>No monotonic relationship</t>
  </si>
  <si>
    <t>Null hypothesis: customer effort and churn risk are not related in rank order.</t>
  </si>
  <si>
    <t>H1</t>
  </si>
  <si>
    <t>Monotonic relationship exists</t>
  </si>
  <si>
    <t>Alternative hypothesis: as effort changes, churn risk tends to change in a consistent ranked direction.</t>
  </si>
  <si>
    <t>Very strong positive monotonic association: higher effort generally lines up with higher churn risk.</t>
  </si>
  <si>
    <t>Effect size</t>
  </si>
  <si>
    <t>Magnitude is assessed using the correlation coefficient; values above 0.8 are typically very strong.</t>
  </si>
  <si>
    <t>Approximate significance test for the Spearman correlation coefficient.</t>
  </si>
  <si>
    <t>At alpha = 0.05, a p-value below 0.05 indicates the relationship is statistically significant.</t>
  </si>
  <si>
    <t>Yes — they are related.</t>
  </si>
  <si>
    <t>Customers with higher effort scores tend to have materially higher churn risk, so friction appears to be a strong churn-warning signal.</t>
  </si>
  <si>
    <t>Association, not causation</t>
  </si>
  <si>
    <t>This does not prove effort causes churn; segment mix, customer size, product issues, or support history could also explain the pattern.</t>
  </si>
  <si>
    <t>Investigate high-effort accounts</t>
  </si>
  <si>
    <t>Prioritize customers with effort scores 4-5 for retention outreach and investigate root causes of customer friction.</t>
  </si>
  <si>
    <t>Is premium support related to higher revenue?</t>
  </si>
  <si>
    <t>Tests whether customers with Premium_Support_Flag = 1 have higher Monthly_Revenue_USD than customers with flag = 0.</t>
  </si>
  <si>
    <t>Premium_Support_Flag vs. Monthly_Revenue_USD</t>
  </si>
  <si>
    <t>Premium support is binary (0/1), while monthly revenue is numeric; a group comparison is clearer than treating this as a standard two-continuous-variable correlation.</t>
  </si>
  <si>
    <t>Welch one-tailed t-test + point-biserial correlation</t>
  </si>
  <si>
    <t>The question is directional (higher revenue), and revenue variance differs meaningfully across groups, so Welch's unequal-variance t-test is safer.</t>
  </si>
  <si>
    <t>Premium revenue &lt;= non-premium revenue</t>
  </si>
  <si>
    <t>Null hypothesis: premium-support customers do not have higher average monthly revenue than non-premium customers.</t>
  </si>
  <si>
    <t>Premium revenue &gt; non-premium revenue</t>
  </si>
  <si>
    <t>Alternative hypothesis: premium-support customers have higher average monthly revenue.</t>
  </si>
  <si>
    <t>n, non-premium</t>
  </si>
  <si>
    <t>Number of observations where Premium_Support_Flag = 0.</t>
  </si>
  <si>
    <t>n, premium</t>
  </si>
  <si>
    <t>Number of observations where Premium_Support_Flag = 1.</t>
  </si>
  <si>
    <t>Mean revenue, non-premium</t>
  </si>
  <si>
    <t>Average monthly revenue for customers without premium support.</t>
  </si>
  <si>
    <t>Average monthly revenue for customers with premium support.</t>
  </si>
  <si>
    <t>Median revenue check</t>
  </si>
  <si>
    <t>Premium customers also have a higher median revenue; reporting median helps guard against skew/outliers.</t>
  </si>
  <si>
    <t>Mean difference</t>
  </si>
  <si>
    <t>Premium minus non-premium average monthly revenue.</t>
  </si>
  <si>
    <t>Point-biserial correlation</t>
  </si>
  <si>
    <t>Correlation between the 0/1 premium flag and revenue; positive values mean premium support is associated with higher revenue.</t>
  </si>
  <si>
    <t>Welch t-test p-value</t>
  </si>
  <si>
    <t>One-tailed unequal-variance test of whether premium customers have higher mean revenue than non-premium customers.</t>
  </si>
  <si>
    <t>Cohen's d: standardized mean difference. Larger positive values indicate premium revenue is much higher in practical terms.</t>
  </si>
  <si>
    <t>Yes — premium support is related to higher revenue.</t>
  </si>
  <si>
    <t>Premium-support customers show substantially higher average monthly revenue, and the relationship is statistically significant in this sample.</t>
  </si>
  <si>
    <t>Investigate drivers before acting</t>
  </si>
  <si>
    <t>Segment by plan tier and company size before assuming premium support causes higher revenue; larger customers may be more likely to buy premium support.</t>
  </si>
  <si>
    <t>Category</t>
  </si>
  <si>
    <t>Tests whether complaint mix differs across Chemicals, Physical, and Digital categories.</t>
  </si>
  <si>
    <t>Product category vs. complaint type</t>
  </si>
  <si>
    <t>Both variables are categorical, so this is not a correlation problem.</t>
  </si>
  <si>
    <t>Compares actual counts to expected counts if product category and complaint type were independent.</t>
  </si>
  <si>
    <t>No association</t>
  </si>
  <si>
    <t>Complaint type distribution is independent of product category.</t>
  </si>
  <si>
    <t>Association exists</t>
  </si>
  <si>
    <t>Complaint type distribution differs by product category.</t>
  </si>
  <si>
    <t>Total observations</t>
  </si>
  <si>
    <t>Total complaint records in the contingency table.</t>
  </si>
  <si>
    <t>Chi-square statistic</t>
  </si>
  <si>
    <t>Measures how far actual counts are from expected counts under independence.</t>
  </si>
  <si>
    <t>Degrees of freedom</t>
  </si>
  <si>
    <t>Calculated from (number of categories - 1) × (number of complaint types - 1).</t>
  </si>
  <si>
    <t>Probability of seeing a difference this large if category and complaint type were independent.</t>
  </si>
  <si>
    <t>Cramer's V; larger values indicate stronger categorical association.</t>
  </si>
  <si>
    <t>Yes — complaint types are associated by category.</t>
  </si>
  <si>
    <t>The mix of complaints differs by category: Chemicals have more Quality complaints than expected, Physical has more Delivery complaints, and Digital has more Billing complaints.</t>
  </si>
  <si>
    <t>This test shows categories and complaint types are related, but it does not prove category causes the complaint pattern.</t>
  </si>
  <si>
    <t>Investigate category-specific drivers</t>
  </si>
  <si>
    <t>Focus quality investigation on Chemicals, delivery process review on Physical, and billing workflow review on Digital.</t>
  </si>
  <si>
    <t>Can ad spend predict sales revenue?</t>
  </si>
  <si>
    <t>Starts with correlation to test association, then uses regression because prediction requires a slope, intercept, and forecast equation.</t>
  </si>
  <si>
    <t>Ad_Spend_USD vs. Sales_Revenue_USD</t>
  </si>
  <si>
    <t>Both variables are continuous numeric metrics observed by month; holiday and promo flags are available as potential additional predictors.</t>
  </si>
  <si>
    <t>Recommended method</t>
  </si>
  <si>
    <t>Linear regression</t>
  </si>
  <si>
    <t>Correlation measures whether variables move together; regression estimates expected sales revenue from ad spend and is the right method for prediction.</t>
  </si>
  <si>
    <t>Number of monthly observations used in the simple regression.</t>
  </si>
  <si>
    <t>Correlation diagnostic</t>
  </si>
  <si>
    <t>Very strong positive association: months with higher ad spend also tend to have higher sales revenue.</t>
  </si>
  <si>
    <t>Share of observed sales variation explained by ad spend in this simple linear model.</t>
  </si>
  <si>
    <t>Regression slope</t>
  </si>
  <si>
    <t>Estimated sales revenue increase for each additional $1 of ad spend, based on the historical linear fit.</t>
  </si>
  <si>
    <t>Regression intercept</t>
  </si>
  <si>
    <t>Estimated baseline sales revenue when ad spend is zero; mainly needed for the prediction equation, not necessarily a realistic business scenario.</t>
  </si>
  <si>
    <t>Prediction equation</t>
  </si>
  <si>
    <t>Use this simple regression equation for point forecasts within the observed spend range.</t>
  </si>
  <si>
    <t>Example forecast input</t>
  </si>
  <si>
    <t>Editable input: ad spend scenario used for the forecast example.</t>
  </si>
  <si>
    <t>Forecasted sales</t>
  </si>
  <si>
    <t>Predicted sales revenue at the ad spend input above.</t>
  </si>
  <si>
    <t>Residual standard error</t>
  </si>
  <si>
    <t>Typical historical forecast error from the simple one-variable regression.</t>
  </si>
  <si>
    <t>Approx. forecast range</t>
  </si>
  <si>
    <t>Rule-of-thumb range using about ±2 residual standard errors; use a range rather than a false-precision point estimate.</t>
  </si>
  <si>
    <t>Slope significance p-value</t>
  </si>
  <si>
    <t>Tests whether the regression slope is statistically different from zero.</t>
  </si>
  <si>
    <t>Yes — ad spend can be used for prediction, with caution.</t>
  </si>
  <si>
    <t>The model shows a very strong linear relationship, but predictions should stay within the historical spend range and be reported as ranges, not exact values.</t>
  </si>
  <si>
    <t>Correlation is not causation</t>
  </si>
  <si>
    <t>Higher ad spend may coincide with holidays, promos, or seasonality. The sheet includes Holiday_Flag and Promo_Flag, so a multiple regression would be better for driver analysis.</t>
  </si>
  <si>
    <t>Business recommendation</t>
  </si>
  <si>
    <t>Use regression, then validate</t>
  </si>
  <si>
    <t>Use simple linear regression for an initial forecast; next, add Holiday_Flag and Promo_Flag to test whether ad spend still predicts sales after campaign/seasonality effects.</t>
  </si>
  <si>
    <t>Answer</t>
  </si>
  <si>
    <t>Correlation is helpful as a diagnostic; regression is the right method for prediction.</t>
  </si>
  <si>
    <t>Based on the sample, Ad_Spend_USD is a very strong predictor of Sales_Revenue_USD, but the model should be validated before operational use.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</si>
</sst>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%"/>
    <numFmt numFmtId="166" formatCode="0.0000"/>
    <numFmt numFmtId="168" formatCode="&quot;€&quot;#,##0"/>
  </numFmts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b/>
      <sz val="10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color rgb="FFFFFFFF"/>
      <name val="Calibri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b/>
      <sz val="12"/>
      <color rgb="FFFFFF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1D2330"/>
        <bgColor indexed="64"/>
      </patternFill>
    </fill>
    <fill>
      <patternFill patternType="solid">
        <fgColor rgb="FFE2E3E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D9D9D9"/>
      </right>
      <top style="thin">
        <color rgb="FFD9D9D9"/>
      </top>
      <bottom style="thick">
        <color rgb="FF1D2330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 style="thick">
        <color rgb="FF1D2330"/>
      </bottom>
      <diagonal/>
    </border>
    <border>
      <left style="thin">
        <color rgb="FFD9D9D9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BFBFBF"/>
      </right>
      <top style="thin">
        <color rgb="FFBFBFBF"/>
      </top>
      <bottom style="thin">
        <color rgb="FFD9D9D9"/>
      </bottom>
      <diagonal/>
    </border>
    <border>
      <left style="thin">
        <color rgb="FFBFBFBF"/>
      </left>
      <right style="thin">
        <color rgb="FFD9D9D9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D9D9D9"/>
      </top>
      <bottom style="thick">
        <color rgb="FF1D2330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 style="thick">
        <color rgb="FF1D2330"/>
      </top>
      <bottom style="thin">
        <color rgb="FFBFBFBF"/>
      </bottom>
      <diagonal/>
    </border>
    <border>
      <left/>
      <right style="thin">
        <color rgb="FFBFBFBF"/>
      </right>
      <top style="thick">
        <color rgb="FF1D2330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ck">
        <color rgb="FF1D2330"/>
      </bottom>
      <diagonal/>
    </border>
    <border>
      <left/>
      <right/>
      <top style="thin">
        <color rgb="FFBFBFBF"/>
      </top>
      <bottom style="thick">
        <color rgb="FF1D2330"/>
      </bottom>
      <diagonal/>
    </border>
    <border>
      <left/>
      <right style="thin">
        <color rgb="FFD9D9D9"/>
      </right>
      <top style="thin">
        <color rgb="FFBFBFBF"/>
      </top>
      <bottom style="thick">
        <color rgb="FF1D233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/>
      <top style="thin">
        <color rgb="FFBFBFBF"/>
      </top>
      <bottom/>
      <diagonal/>
    </border>
    <border>
      <left style="thin">
        <color rgb="FFD9D9D9"/>
      </left>
      <right style="thin">
        <color rgb="FFBFBFBF"/>
      </right>
      <top/>
      <bottom/>
      <diagonal/>
    </border>
    <border>
      <left style="thin">
        <color rgb="FFD9D9D9"/>
      </left>
      <right style="thin">
        <color rgb="FFBFBFBF"/>
      </right>
      <top/>
      <bottom style="thin">
        <color rgb="FFD9D9D9"/>
      </bottom>
      <diagonal/>
    </border>
    <border>
      <left/>
      <right style="thin">
        <color rgb="FFD9D9D9"/>
      </right>
      <top style="thin">
        <color rgb="FFBFBFBF"/>
      </top>
      <bottom/>
      <diagonal/>
    </border>
    <border>
      <left/>
      <right style="thin">
        <color rgb="FFD9D9D9"/>
      </right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6" borderId="2" xfId="0" applyFont="1" applyFill="1" applyBorder="1" applyAlignment="1">
      <alignment horizontal="left"/>
    </xf>
    <xf numFmtId="0" fontId="5" fillId="6" borderId="4" xfId="0" applyFont="1" applyFill="1" applyBorder="1" applyAlignment="1">
      <alignment horizontal="left"/>
    </xf>
    <xf numFmtId="1" fontId="8" fillId="8" borderId="1" xfId="0" applyNumberFormat="1" applyFont="1" applyFill="1" applyBorder="1" applyAlignment="1">
      <alignment horizontal="left" vertical="top" wrapText="1"/>
    </xf>
    <xf numFmtId="164" fontId="8" fillId="8" borderId="1" xfId="0" applyNumberFormat="1" applyFont="1" applyFill="1" applyBorder="1" applyAlignment="1">
      <alignment horizontal="left" vertical="top" wrapText="1"/>
    </xf>
    <xf numFmtId="165" fontId="8" fillId="8" borderId="1" xfId="0" applyNumberFormat="1" applyFont="1" applyFill="1" applyBorder="1" applyAlignment="1">
      <alignment horizontal="left" vertical="top" wrapText="1"/>
    </xf>
    <xf numFmtId="2" fontId="8" fillId="8" borderId="1" xfId="0" applyNumberFormat="1" applyFont="1" applyFill="1" applyBorder="1" applyAlignment="1">
      <alignment horizontal="left" vertical="top" wrapText="1"/>
    </xf>
    <xf numFmtId="166" fontId="8" fillId="8" borderId="1" xfId="0" applyNumberFormat="1" applyFont="1" applyFill="1" applyBorder="1" applyAlignment="1">
      <alignment horizontal="left" vertical="top" wrapText="1"/>
    </xf>
    <xf numFmtId="0" fontId="8" fillId="8" borderId="1" xfId="0" applyNumberFormat="1" applyFont="1" applyFill="1" applyBorder="1" applyAlignment="1">
      <alignment horizontal="left" vertical="top" wrapText="1"/>
    </xf>
    <xf numFmtId="0" fontId="8" fillId="8" borderId="7" xfId="0" applyNumberFormat="1" applyFont="1" applyFill="1" applyBorder="1" applyAlignment="1">
      <alignment horizontal="left" vertical="top" wrapText="1"/>
    </xf>
    <xf numFmtId="0" fontId="0" fillId="0" borderId="8" xfId="0" applyBorder="1" applyAlignment="1">
      <alignment vertical="top" wrapText="1"/>
    </xf>
    <xf numFmtId="0" fontId="6" fillId="6" borderId="3" xfId="0" applyNumberFormat="1" applyFont="1" applyFill="1" applyBorder="1" applyAlignment="1">
      <alignment horizontal="left" wrapText="1"/>
    </xf>
    <xf numFmtId="0" fontId="6" fillId="6" borderId="9" xfId="0" applyNumberFormat="1" applyFont="1" applyFill="1" applyBorder="1" applyAlignment="1">
      <alignment horizontal="left"/>
    </xf>
    <xf numFmtId="0" fontId="7" fillId="8" borderId="5" xfId="0" applyNumberFormat="1" applyFont="1" applyFill="1" applyBorder="1" applyAlignment="1">
      <alignment horizontal="left" vertical="top" wrapText="1"/>
    </xf>
    <xf numFmtId="0" fontId="7" fillId="7" borderId="5" xfId="0" applyNumberFormat="1" applyFont="1" applyFill="1" applyBorder="1" applyAlignment="1">
      <alignment horizontal="left" vertical="top" wrapText="1"/>
    </xf>
    <xf numFmtId="0" fontId="7" fillId="8" borderId="6" xfId="0" applyNumberFormat="1" applyFont="1" applyFill="1" applyBorder="1" applyAlignment="1">
      <alignment horizontal="left" vertical="top" wrapText="1"/>
    </xf>
    <xf numFmtId="0" fontId="8" fillId="8" borderId="11" xfId="0" applyNumberFormat="1" applyFont="1" applyFill="1" applyBorder="1" applyAlignment="1">
      <alignment horizontal="center" vertical="top" wrapText="1"/>
    </xf>
    <xf numFmtId="0" fontId="8" fillId="8" borderId="12" xfId="0" applyNumberFormat="1" applyFont="1" applyFill="1" applyBorder="1" applyAlignment="1">
      <alignment horizontal="center" vertical="top" wrapText="1"/>
    </xf>
    <xf numFmtId="0" fontId="8" fillId="8" borderId="13" xfId="0" applyNumberFormat="1" applyFont="1" applyFill="1" applyBorder="1" applyAlignment="1">
      <alignment horizontal="center" vertical="top" wrapText="1"/>
    </xf>
    <xf numFmtId="0" fontId="8" fillId="8" borderId="8" xfId="0" applyNumberFormat="1" applyFont="1" applyFill="1" applyBorder="1" applyAlignment="1">
      <alignment horizontal="center" vertical="top" wrapText="1"/>
    </xf>
    <xf numFmtId="0" fontId="8" fillId="8" borderId="14" xfId="0" applyNumberFormat="1" applyFont="1" applyFill="1" applyBorder="1" applyAlignment="1">
      <alignment horizontal="center" vertical="top" wrapText="1"/>
    </xf>
    <xf numFmtId="0" fontId="8" fillId="8" borderId="15" xfId="0" applyNumberFormat="1" applyFont="1" applyFill="1" applyBorder="1" applyAlignment="1">
      <alignment horizontal="center" vertical="top" wrapText="1"/>
    </xf>
    <xf numFmtId="0" fontId="9" fillId="6" borderId="0" xfId="0" applyFont="1" applyFill="1"/>
    <xf numFmtId="0" fontId="4" fillId="7" borderId="0" xfId="0" applyFont="1" applyFill="1"/>
    <xf numFmtId="0" fontId="4" fillId="0" borderId="0" xfId="0" applyFont="1"/>
    <xf numFmtId="0" fontId="4" fillId="7" borderId="0" xfId="0" applyFont="1" applyFill="1" applyBorder="1"/>
    <xf numFmtId="49" fontId="0" fillId="0" borderId="0" xfId="0" applyNumberFormat="1"/>
    <xf numFmtId="0" fontId="6" fillId="6" borderId="16" xfId="0" applyNumberFormat="1" applyFont="1" applyFill="1" applyBorder="1" applyAlignment="1">
      <alignment horizontal="left" wrapText="1"/>
    </xf>
    <xf numFmtId="0" fontId="5" fillId="6" borderId="17" xfId="0" applyFont="1" applyFill="1" applyBorder="1" applyAlignment="1">
      <alignment horizontal="center"/>
    </xf>
    <xf numFmtId="0" fontId="5" fillId="6" borderId="18" xfId="0" applyFont="1" applyFill="1" applyBorder="1" applyAlignment="1">
      <alignment horizontal="center"/>
    </xf>
    <xf numFmtId="0" fontId="5" fillId="6" borderId="19" xfId="0" applyFont="1" applyFill="1" applyBorder="1" applyAlignment="1">
      <alignment horizontal="center"/>
    </xf>
    <xf numFmtId="0" fontId="8" fillId="8" borderId="10" xfId="0" applyNumberFormat="1" applyFont="1" applyFill="1" applyBorder="1" applyAlignment="1">
      <alignment horizontal="left" vertical="top" wrapText="1"/>
    </xf>
    <xf numFmtId="0" fontId="8" fillId="8" borderId="0" xfId="0" applyNumberFormat="1" applyFont="1" applyFill="1" applyBorder="1" applyAlignment="1">
      <alignment horizontal="left" vertical="top" wrapText="1"/>
    </xf>
    <xf numFmtId="0" fontId="8" fillId="8" borderId="0" xfId="0" applyNumberFormat="1" applyFont="1" applyFill="1" applyBorder="1" applyAlignment="1">
      <alignment horizontal="left"/>
    </xf>
    <xf numFmtId="0" fontId="0" fillId="0" borderId="13" xfId="0" applyBorder="1" applyAlignment="1">
      <alignment vertical="top" wrapText="1"/>
    </xf>
    <xf numFmtId="0" fontId="0" fillId="0" borderId="20" xfId="0" applyBorder="1" applyAlignment="1">
      <alignment vertical="top" wrapText="1"/>
    </xf>
    <xf numFmtId="0" fontId="8" fillId="8" borderId="21" xfId="0" applyNumberFormat="1" applyFont="1" applyFill="1" applyBorder="1" applyAlignment="1">
      <alignment horizontal="left"/>
    </xf>
    <xf numFmtId="0" fontId="8" fillId="8" borderId="21" xfId="0" applyNumberFormat="1" applyFont="1" applyFill="1" applyBorder="1" applyAlignment="1">
      <alignment horizontal="left" vertical="top" wrapText="1"/>
    </xf>
    <xf numFmtId="0" fontId="8" fillId="8" borderId="26" xfId="0" applyNumberFormat="1" applyFont="1" applyFill="1" applyBorder="1" applyAlignment="1">
      <alignment horizontal="left"/>
    </xf>
    <xf numFmtId="0" fontId="8" fillId="8" borderId="27" xfId="0" applyNumberFormat="1" applyFont="1" applyFill="1" applyBorder="1" applyAlignment="1">
      <alignment horizontal="left"/>
    </xf>
    <xf numFmtId="0" fontId="6" fillId="6" borderId="22" xfId="0" applyNumberFormat="1" applyFont="1" applyFill="1" applyBorder="1" applyAlignment="1">
      <alignment horizontal="left" wrapText="1"/>
    </xf>
    <xf numFmtId="0" fontId="6" fillId="6" borderId="25" xfId="0" applyNumberFormat="1" applyFont="1" applyFill="1" applyBorder="1" applyAlignment="1">
      <alignment horizontal="left" wrapText="1"/>
    </xf>
    <xf numFmtId="0" fontId="7" fillId="8" borderId="23" xfId="0" applyNumberFormat="1" applyFont="1" applyFill="1" applyBorder="1" applyAlignment="1">
      <alignment horizontal="left" vertical="top" wrapText="1"/>
    </xf>
    <xf numFmtId="0" fontId="7" fillId="8" borderId="24" xfId="0" applyNumberFormat="1" applyFont="1" applyFill="1" applyBorder="1" applyAlignment="1">
      <alignment horizontal="left" vertical="top" wrapText="1"/>
    </xf>
    <xf numFmtId="166" fontId="8" fillId="8" borderId="0" xfId="0" applyNumberFormat="1" applyFont="1" applyFill="1" applyBorder="1" applyAlignment="1">
      <alignment horizontal="left"/>
    </xf>
    <xf numFmtId="1" fontId="8" fillId="8" borderId="0" xfId="0" applyNumberFormat="1" applyFont="1" applyFill="1" applyBorder="1" applyAlignment="1">
      <alignment horizontal="left"/>
    </xf>
    <xf numFmtId="168" fontId="8" fillId="8" borderId="0" xfId="0" applyNumberFormat="1" applyFont="1" applyFill="1" applyBorder="1" applyAlignment="1">
      <alignment horizontal="left"/>
    </xf>
    <xf numFmtId="164" fontId="8" fillId="8" borderId="0" xfId="0" applyNumberFormat="1" applyFont="1" applyFill="1" applyBorder="1" applyAlignment="1">
      <alignment horizontal="left"/>
    </xf>
    <xf numFmtId="2" fontId="8" fillId="8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Marketing spend vs sales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Marketing spend vs sales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Pearson_Linear!$B$8:$B$19</c:f>
              <c:numCache>
                <c:formatCode>General</c:formatCode>
                <c:ptCount val="12"/>
                <c:pt idx="0">
                  <c:v>12000</c:v>
                </c:pt>
                <c:pt idx="1">
                  <c:v>13500</c:v>
                </c:pt>
                <c:pt idx="2">
                  <c:v>15000</c:v>
                </c:pt>
                <c:pt idx="3">
                  <c:v>16000</c:v>
                </c:pt>
                <c:pt idx="4">
                  <c:v>18000</c:v>
                </c:pt>
                <c:pt idx="5">
                  <c:v>21000</c:v>
                </c:pt>
                <c:pt idx="6">
                  <c:v>24000</c:v>
                </c:pt>
                <c:pt idx="7">
                  <c:v>26000</c:v>
                </c:pt>
                <c:pt idx="8">
                  <c:v>29000</c:v>
                </c:pt>
                <c:pt idx="9">
                  <c:v>31000</c:v>
                </c:pt>
                <c:pt idx="10">
                  <c:v>34000</c:v>
                </c:pt>
                <c:pt idx="11">
                  <c:v>37000</c:v>
                </c:pt>
              </c:numCache>
            </c:numRef>
          </c:xVal>
          <c:yVal>
            <c:numRef>
              <c:f>Pearson_Linear!$C$8:$C$19</c:f>
              <c:numCache>
                <c:formatCode>General</c:formatCode>
                <c:ptCount val="12"/>
                <c:pt idx="0">
                  <c:v>83000</c:v>
                </c:pt>
                <c:pt idx="1">
                  <c:v>87000</c:v>
                </c:pt>
                <c:pt idx="2">
                  <c:v>92000</c:v>
                </c:pt>
                <c:pt idx="3">
                  <c:v>97000</c:v>
                </c:pt>
                <c:pt idx="4">
                  <c:v>103000</c:v>
                </c:pt>
                <c:pt idx="5">
                  <c:v>112000</c:v>
                </c:pt>
                <c:pt idx="6">
                  <c:v>121000</c:v>
                </c:pt>
                <c:pt idx="7">
                  <c:v>127000</c:v>
                </c:pt>
                <c:pt idx="8">
                  <c:v>136000</c:v>
                </c:pt>
                <c:pt idx="9">
                  <c:v>142000</c:v>
                </c:pt>
                <c:pt idx="10">
                  <c:v>153000</c:v>
                </c:pt>
                <c:pt idx="11">
                  <c:v>162000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20-41C3-81F1-0B94835250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Marketing_Spend_USD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Sales_Revenue_USD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Customer effort vs churn risk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Customer effort vs churn risk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Spearman_Rank!$B$8:$B$21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</c:numCache>
            </c:numRef>
          </c:xVal>
          <c:yVal>
            <c:numRef>
              <c:f>Spearman_Rank!$C$8:$C$21</c:f>
              <c:numCache>
                <c:formatCode>General</c:formatCode>
                <c:ptCount val="14"/>
                <c:pt idx="0">
                  <c:v>4</c:v>
                </c:pt>
                <c:pt idx="1">
                  <c:v>5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19</c:v>
                </c:pt>
                <c:pt idx="6">
                  <c:v>23</c:v>
                </c:pt>
                <c:pt idx="7">
                  <c:v>27</c:v>
                </c:pt>
                <c:pt idx="8">
                  <c:v>41</c:v>
                </c:pt>
                <c:pt idx="9">
                  <c:v>46</c:v>
                </c:pt>
                <c:pt idx="10">
                  <c:v>55</c:v>
                </c:pt>
                <c:pt idx="11">
                  <c:v>68</c:v>
                </c:pt>
                <c:pt idx="12">
                  <c:v>74</c:v>
                </c:pt>
                <c:pt idx="13">
                  <c:v>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222-4C3F-95AA-F3937AE6F9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Customer_Effort_1_to_5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Churn_Risk_Percent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Nonlinear Pattern: Avg Churn Risk by Effort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Spearman_Rank!$Q$3</c:f>
              <c:strCache>
                <c:ptCount val="1"/>
                <c:pt idx="0">
                  <c:v>Effort 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Spearman_Rank!$Q$4:$Q$8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6C-473B-AC6A-1E7551450415}"/>
            </c:ext>
          </c:extLst>
        </c:ser>
        <c:ser>
          <c:idx val="1"/>
          <c:order val="1"/>
          <c:tx>
            <c:strRef>
              <c:f>Spearman_Rank!$R$3</c:f>
              <c:strCache>
                <c:ptCount val="1"/>
                <c:pt idx="0">
                  <c:v>Avg Churn Risk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Spearman_Rank!$R$4:$R$8</c:f>
              <c:numCache>
                <c:formatCode>General</c:formatCode>
                <c:ptCount val="5"/>
                <c:pt idx="0">
                  <c:v>4.5</c:v>
                </c:pt>
                <c:pt idx="1">
                  <c:v>11</c:v>
                </c:pt>
                <c:pt idx="2">
                  <c:v>23</c:v>
                </c:pt>
                <c:pt idx="3">
                  <c:v>47.333333333333336</c:v>
                </c:pt>
                <c:pt idx="4">
                  <c:v>74.666666666666671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6C-473B-AC6A-1E7551450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1017199"/>
        <c:axId val="221695103"/>
      </c:lineChart>
      <c:catAx>
        <c:axId val="2810171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Customer Effort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695103"/>
        <c:crosses val="autoZero"/>
        <c:auto val="1"/>
        <c:lblAlgn val="ctr"/>
        <c:lblOffset val="100"/>
        <c:noMultiLvlLbl val="0"/>
      </c:catAx>
      <c:valAx>
        <c:axId val="221695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Churn Risk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017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Skew: Churn Risk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Spearman_Rank!$U$3</c:f>
              <c:strCache>
                <c:ptCount val="1"/>
                <c:pt idx="0">
                  <c:v>Customer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Spearman_Rank!$T$4:$T$9</c:f>
              <c:strCache>
                <c:ptCount val="6"/>
                <c:pt idx="0">
                  <c:v>0-10</c:v>
                </c:pt>
                <c:pt idx="1">
                  <c:v>11–20</c:v>
                </c:pt>
                <c:pt idx="2">
                  <c:v>21-40</c:v>
                </c:pt>
                <c:pt idx="3">
                  <c:v>41-60</c:v>
                </c:pt>
                <c:pt idx="4">
                  <c:v>61-80</c:v>
                </c:pt>
                <c:pt idx="5">
                  <c:v>81+</c:v>
                </c:pt>
              </c:strCache>
            </c:strRef>
          </c:cat>
          <c:val>
            <c:numRef>
              <c:f>Spearman_Rank!$U$4:$U$9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EA-4D9A-BF9D-C2AE3308EE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79282431"/>
        <c:axId val="201927615"/>
      </c:barChart>
      <c:catAx>
        <c:axId val="3792824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Churn Risk Bucket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27615"/>
        <c:crosses val="autoZero"/>
        <c:auto val="1"/>
        <c:lblAlgn val="ctr"/>
        <c:lblOffset val="100"/>
        <c:noMultiLvlLbl val="0"/>
      </c:catAx>
      <c:valAx>
        <c:axId val="20192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Customer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282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Ad spend vs sales revenue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Ad spend vs sales revenue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Regression_Prediction!$B$8:$B$19</c:f>
              <c:numCache>
                <c:formatCode>General</c:formatCode>
                <c:ptCount val="12"/>
                <c:pt idx="0">
                  <c:v>10000</c:v>
                </c:pt>
                <c:pt idx="1">
                  <c:v>12000</c:v>
                </c:pt>
                <c:pt idx="2">
                  <c:v>14000</c:v>
                </c:pt>
                <c:pt idx="3">
                  <c:v>16000</c:v>
                </c:pt>
                <c:pt idx="4">
                  <c:v>18000</c:v>
                </c:pt>
                <c:pt idx="5">
                  <c:v>20000</c:v>
                </c:pt>
                <c:pt idx="6">
                  <c:v>22000</c:v>
                </c:pt>
                <c:pt idx="7">
                  <c:v>24000</c:v>
                </c:pt>
                <c:pt idx="8">
                  <c:v>26000</c:v>
                </c:pt>
                <c:pt idx="9">
                  <c:v>30000</c:v>
                </c:pt>
                <c:pt idx="10">
                  <c:v>34000</c:v>
                </c:pt>
                <c:pt idx="11">
                  <c:v>38000</c:v>
                </c:pt>
              </c:numCache>
            </c:numRef>
          </c:xVal>
          <c:yVal>
            <c:numRef>
              <c:f>Regression_Prediction!$C$8:$C$19</c:f>
              <c:numCache>
                <c:formatCode>General</c:formatCode>
                <c:ptCount val="12"/>
                <c:pt idx="0">
                  <c:v>72000</c:v>
                </c:pt>
                <c:pt idx="1">
                  <c:v>78000</c:v>
                </c:pt>
                <c:pt idx="2">
                  <c:v>83000</c:v>
                </c:pt>
                <c:pt idx="3">
                  <c:v>90000</c:v>
                </c:pt>
                <c:pt idx="4">
                  <c:v>97000</c:v>
                </c:pt>
                <c:pt idx="5">
                  <c:v>103000</c:v>
                </c:pt>
                <c:pt idx="6">
                  <c:v>110000</c:v>
                </c:pt>
                <c:pt idx="7">
                  <c:v>118000</c:v>
                </c:pt>
                <c:pt idx="8">
                  <c:v>124000</c:v>
                </c:pt>
                <c:pt idx="9">
                  <c:v>139000</c:v>
                </c:pt>
                <c:pt idx="10">
                  <c:v>151000</c:v>
                </c:pt>
                <c:pt idx="11">
                  <c:v>164000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E1-4B7F-89B2-BC279DB700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Ad_Spend_USD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Sales_Revenue_USD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20</xdr:row>
      <xdr:rowOff>76200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590550</xdr:colOff>
      <xdr:row>40</xdr:row>
      <xdr:rowOff>66675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13</xdr:col>
      <xdr:colOff>0</xdr:colOff>
      <xdr:row>25</xdr:row>
      <xdr:rowOff>0</xdr:rowOff>
    </xdr:from>
    <xdr:to>
      <xdr:col>19</xdr:col>
      <xdr:colOff>0</xdr:colOff>
      <xdr:row>40</xdr:row>
      <xdr:rowOff>0</xdr:rowOff>
    </xdr:to>
    <xdr:graphicFrame macro="">
      <xdr:nvGraphicFramePr>
        <xdr:cNvPr id="3" name="Skew_Nonlinear_Avg_Churn">
          <a:extLst>
            <a:ext uri="{FF2B5EF4-FFF2-40B4-BE49-F238E27FC236}">
              <a16:creationId xmlns:a16="http://schemas.microsoft.com/office/drawing/2014/main" id="{29343F94-5486-5A65-2446-6848DE33E5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25</xdr:row>
      <xdr:rowOff>0</xdr:rowOff>
    </xdr:from>
    <xdr:to>
      <xdr:col>25</xdr:col>
      <xdr:colOff>0</xdr:colOff>
      <xdr:row>40</xdr:row>
      <xdr:rowOff>0</xdr:rowOff>
    </xdr:to>
    <xdr:graphicFrame macro="">
      <xdr:nvGraphicFramePr>
        <xdr:cNvPr id="4" name="Skew_Churn_Distribution">
          <a:extLst>
            <a:ext uri="{FF2B5EF4-FFF2-40B4-BE49-F238E27FC236}">
              <a16:creationId xmlns:a16="http://schemas.microsoft.com/office/drawing/2014/main" id="{83C61DB3-44D2-0938-5D86-61BC7DFD24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152400</xdr:colOff>
      <xdr:row>6</xdr:row>
      <xdr:rowOff>95250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206ACA7-FCA6-4A09-804B-4FF730A82B80}">
  <we:reference id="wa200010215" version="2.0.0.0" store="es-ES" storeType="OMEX"/>
  <we:alternateReferences>
    <we:reference id="WA200010215" version="2.0.0.0" store="" storeType="OMEX"/>
  </we:alternateReferences>
  <we:properties/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showGridLines="0" workbookViewId="0">
      <selection activeCell="B14" sqref="B14"/>
    </sheetView>
  </sheetViews>
  <sheetFormatPr defaultRowHeight="15" x14ac:dyDescent="0.25"/>
  <cols>
    <col min="1" max="1" width="24" customWidth="1"/>
    <col min="2" max="2" width="34" customWidth="1"/>
    <col min="3" max="3" width="22" customWidth="1"/>
    <col min="4" max="4" width="28" customWidth="1"/>
    <col min="5" max="6" width="42" customWidth="1"/>
  </cols>
  <sheetData>
    <row r="1" spans="1:6" ht="26.1" customHeight="1" x14ac:dyDescent="0.25">
      <c r="A1" s="5" t="s">
        <v>0</v>
      </c>
      <c r="B1" s="6"/>
      <c r="C1" s="6"/>
      <c r="D1" s="6"/>
      <c r="E1" s="6"/>
      <c r="F1" s="6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2" t="s">
        <v>1</v>
      </c>
      <c r="B3" s="6" t="s">
        <v>2</v>
      </c>
      <c r="C3" s="6"/>
      <c r="D3" s="6"/>
      <c r="E3" s="6"/>
      <c r="F3" s="6"/>
    </row>
    <row r="4" spans="1:6" x14ac:dyDescent="0.25">
      <c r="A4" s="1"/>
      <c r="B4" s="1"/>
      <c r="C4" s="1"/>
      <c r="D4" s="1"/>
      <c r="E4" s="1"/>
      <c r="F4" s="1"/>
    </row>
    <row r="5" spans="1:6" x14ac:dyDescent="0.25">
      <c r="A5" s="2" t="s">
        <v>3</v>
      </c>
      <c r="B5" s="6" t="s">
        <v>4</v>
      </c>
      <c r="C5" s="6"/>
      <c r="D5" s="6"/>
      <c r="E5" s="6"/>
      <c r="F5" s="6"/>
    </row>
    <row r="6" spans="1:6" x14ac:dyDescent="0.25">
      <c r="A6" s="1"/>
      <c r="B6" s="1"/>
      <c r="C6" s="1"/>
      <c r="D6" s="1"/>
      <c r="E6" s="1"/>
      <c r="F6" s="1"/>
    </row>
    <row r="7" spans="1:6" ht="45" customHeight="1" x14ac:dyDescent="0.25">
      <c r="A7" s="2" t="s">
        <v>5</v>
      </c>
      <c r="B7" s="6" t="s">
        <v>6</v>
      </c>
      <c r="C7" s="6"/>
      <c r="D7" s="6"/>
      <c r="E7" s="6"/>
      <c r="F7" s="6"/>
    </row>
    <row r="8" spans="1:6" x14ac:dyDescent="0.25">
      <c r="A8" s="1"/>
      <c r="B8" s="1"/>
      <c r="C8" s="1"/>
      <c r="D8" s="1"/>
      <c r="E8" s="1"/>
      <c r="F8" s="1"/>
    </row>
    <row r="9" spans="1:6" x14ac:dyDescent="0.25">
      <c r="A9" s="1"/>
      <c r="B9" s="1"/>
      <c r="C9" s="1"/>
      <c r="D9" s="1"/>
      <c r="E9" s="1"/>
      <c r="F9" s="1"/>
    </row>
    <row r="10" spans="1:6" x14ac:dyDescent="0.25">
      <c r="A10" s="3" t="s">
        <v>7</v>
      </c>
      <c r="B10" s="3" t="s">
        <v>8</v>
      </c>
      <c r="C10" s="3" t="s">
        <v>9</v>
      </c>
      <c r="D10" s="3" t="s">
        <v>10</v>
      </c>
      <c r="E10" s="3" t="s">
        <v>11</v>
      </c>
      <c r="F10" s="3" t="s">
        <v>12</v>
      </c>
    </row>
    <row r="11" spans="1:6" ht="30" x14ac:dyDescent="0.25">
      <c r="A11" s="1" t="s">
        <v>13</v>
      </c>
      <c r="B11" s="1" t="s">
        <v>14</v>
      </c>
      <c r="C11" s="1" t="s">
        <v>15</v>
      </c>
      <c r="D11" s="1" t="s">
        <v>16</v>
      </c>
      <c r="E11" s="1" t="s">
        <v>17</v>
      </c>
      <c r="F11" s="1" t="s">
        <v>18</v>
      </c>
    </row>
    <row r="12" spans="1:6" ht="30" x14ac:dyDescent="0.25">
      <c r="A12" s="1" t="s">
        <v>19</v>
      </c>
      <c r="B12" s="1" t="s">
        <v>20</v>
      </c>
      <c r="C12" s="1" t="s">
        <v>21</v>
      </c>
      <c r="D12" s="1" t="s">
        <v>22</v>
      </c>
      <c r="E12" s="1" t="s">
        <v>23</v>
      </c>
      <c r="F12" s="1" t="s">
        <v>24</v>
      </c>
    </row>
    <row r="13" spans="1:6" ht="30" x14ac:dyDescent="0.25">
      <c r="A13" s="1" t="s">
        <v>25</v>
      </c>
      <c r="B13" s="1" t="s">
        <v>26</v>
      </c>
      <c r="C13" s="1" t="s">
        <v>27</v>
      </c>
      <c r="D13" s="1" t="s">
        <v>28</v>
      </c>
      <c r="E13" s="1" t="s">
        <v>29</v>
      </c>
      <c r="F13" s="1" t="s">
        <v>30</v>
      </c>
    </row>
    <row r="14" spans="1:6" ht="30" x14ac:dyDescent="0.25">
      <c r="A14" s="1" t="s">
        <v>31</v>
      </c>
      <c r="B14" s="1" t="s">
        <v>32</v>
      </c>
      <c r="C14" s="1" t="s">
        <v>33</v>
      </c>
      <c r="D14" s="1" t="s">
        <v>34</v>
      </c>
      <c r="E14" s="1" t="s">
        <v>35</v>
      </c>
      <c r="F14" s="1" t="s">
        <v>36</v>
      </c>
    </row>
    <row r="15" spans="1:6" ht="30" x14ac:dyDescent="0.25">
      <c r="A15" s="1" t="s">
        <v>37</v>
      </c>
      <c r="B15" s="1" t="s">
        <v>38</v>
      </c>
      <c r="C15" s="1" t="s">
        <v>39</v>
      </c>
      <c r="D15" s="1" t="s">
        <v>40</v>
      </c>
      <c r="E15" s="1" t="s">
        <v>41</v>
      </c>
      <c r="F15" s="1" t="s">
        <v>42</v>
      </c>
    </row>
  </sheetData>
  <mergeCells count="4">
    <mergeCell ref="A1:F1"/>
    <mergeCell ref="B7:F7"/>
    <mergeCell ref="B3:F3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showGridLines="0" workbookViewId="0">
      <selection activeCell="D8" sqref="D8"/>
    </sheetView>
  </sheetViews>
  <sheetFormatPr defaultRowHeight="15" x14ac:dyDescent="0.25"/>
  <cols>
    <col min="1" max="1" width="22" customWidth="1"/>
    <col min="2" max="2" width="38" customWidth="1"/>
    <col min="3" max="3" width="24" customWidth="1"/>
    <col min="4" max="5" width="58" customWidth="1"/>
    <col min="6" max="6" width="14" customWidth="1"/>
  </cols>
  <sheetData>
    <row r="1" spans="1:6" ht="26.1" customHeight="1" x14ac:dyDescent="0.25">
      <c r="A1" s="5" t="s">
        <v>43</v>
      </c>
      <c r="B1" s="6"/>
      <c r="C1" s="6"/>
      <c r="D1" s="6"/>
      <c r="E1" s="6"/>
      <c r="F1" s="6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3" t="s">
        <v>44</v>
      </c>
      <c r="B3" s="3" t="s">
        <v>45</v>
      </c>
      <c r="C3" s="3" t="s">
        <v>46</v>
      </c>
      <c r="D3" s="3" t="s">
        <v>47</v>
      </c>
      <c r="E3" s="3" t="s">
        <v>48</v>
      </c>
      <c r="F3" s="3" t="s">
        <v>49</v>
      </c>
    </row>
    <row r="4" spans="1:6" ht="60" x14ac:dyDescent="0.25">
      <c r="A4" s="1" t="s">
        <v>16</v>
      </c>
      <c r="B4" s="1" t="s">
        <v>50</v>
      </c>
      <c r="C4" s="1" t="s">
        <v>13</v>
      </c>
      <c r="D4" s="1" t="s">
        <v>51</v>
      </c>
      <c r="E4" s="1" t="s">
        <v>52</v>
      </c>
      <c r="F4" s="1" t="s">
        <v>53</v>
      </c>
    </row>
    <row r="5" spans="1:6" ht="45" x14ac:dyDescent="0.25">
      <c r="A5" s="1" t="s">
        <v>22</v>
      </c>
      <c r="B5" s="1" t="s">
        <v>54</v>
      </c>
      <c r="C5" s="1" t="s">
        <v>19</v>
      </c>
      <c r="D5" s="1" t="s">
        <v>55</v>
      </c>
      <c r="E5" s="1" t="s">
        <v>56</v>
      </c>
      <c r="F5" s="1" t="s">
        <v>57</v>
      </c>
    </row>
    <row r="6" spans="1:6" ht="45" x14ac:dyDescent="0.25">
      <c r="A6" s="1" t="s">
        <v>58</v>
      </c>
      <c r="B6" s="1" t="s">
        <v>59</v>
      </c>
      <c r="C6" s="1" t="s">
        <v>25</v>
      </c>
      <c r="D6" s="1" t="s">
        <v>60</v>
      </c>
      <c r="E6" s="1" t="s">
        <v>61</v>
      </c>
      <c r="F6" s="1" t="s">
        <v>57</v>
      </c>
    </row>
    <row r="7" spans="1:6" ht="45" x14ac:dyDescent="0.25">
      <c r="A7" s="1" t="s">
        <v>62</v>
      </c>
      <c r="B7" s="1" t="s">
        <v>63</v>
      </c>
      <c r="C7" s="1" t="s">
        <v>31</v>
      </c>
      <c r="D7" s="1" t="s">
        <v>64</v>
      </c>
      <c r="E7" s="1" t="s">
        <v>65</v>
      </c>
      <c r="F7" s="1" t="s">
        <v>57</v>
      </c>
    </row>
    <row r="8" spans="1:6" ht="45" x14ac:dyDescent="0.25">
      <c r="A8" s="1" t="s">
        <v>66</v>
      </c>
      <c r="B8" s="1" t="s">
        <v>67</v>
      </c>
      <c r="C8" s="1" t="s">
        <v>37</v>
      </c>
      <c r="D8" s="1" t="s">
        <v>68</v>
      </c>
      <c r="E8" s="1" t="s">
        <v>69</v>
      </c>
      <c r="F8" s="1" t="s">
        <v>57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showGridLines="0" workbookViewId="0">
      <selection activeCell="A4" sqref="A4"/>
    </sheetView>
  </sheetViews>
  <sheetFormatPr defaultRowHeight="15" x14ac:dyDescent="0.25"/>
  <cols>
    <col min="1" max="1" width="24" customWidth="1"/>
    <col min="2" max="2" width="28" customWidth="1"/>
    <col min="3" max="3" width="32" customWidth="1"/>
    <col min="4" max="4" width="46" customWidth="1"/>
    <col min="5" max="5" width="48" customWidth="1"/>
    <col min="6" max="6" width="46" customWidth="1"/>
  </cols>
  <sheetData>
    <row r="1" spans="1:6" ht="26.1" customHeight="1" x14ac:dyDescent="0.25">
      <c r="A1" s="5" t="s">
        <v>70</v>
      </c>
      <c r="B1" s="6"/>
      <c r="C1" s="6"/>
      <c r="D1" s="6"/>
      <c r="E1" s="6"/>
      <c r="F1" s="6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3" t="s">
        <v>7</v>
      </c>
      <c r="B3" s="3" t="s">
        <v>71</v>
      </c>
      <c r="C3" s="3" t="s">
        <v>10</v>
      </c>
      <c r="D3" s="3" t="s">
        <v>72</v>
      </c>
      <c r="E3" s="3" t="s">
        <v>73</v>
      </c>
      <c r="F3" s="3" t="s">
        <v>74</v>
      </c>
    </row>
    <row r="4" spans="1:6" ht="45" x14ac:dyDescent="0.25">
      <c r="A4" s="1" t="s">
        <v>13</v>
      </c>
      <c r="B4" s="1" t="s">
        <v>75</v>
      </c>
      <c r="C4" s="1" t="s">
        <v>16</v>
      </c>
      <c r="D4" s="1" t="s">
        <v>76</v>
      </c>
      <c r="E4" s="1" t="s">
        <v>77</v>
      </c>
      <c r="F4" s="1" t="s">
        <v>78</v>
      </c>
    </row>
    <row r="5" spans="1:6" ht="30" x14ac:dyDescent="0.25">
      <c r="A5" s="1" t="s">
        <v>19</v>
      </c>
      <c r="B5" s="1" t="s">
        <v>20</v>
      </c>
      <c r="C5" s="1" t="s">
        <v>22</v>
      </c>
      <c r="D5" s="1" t="s">
        <v>79</v>
      </c>
      <c r="E5" s="1" t="s">
        <v>80</v>
      </c>
      <c r="F5" s="1" t="s">
        <v>81</v>
      </c>
    </row>
    <row r="6" spans="1:6" ht="45" x14ac:dyDescent="0.25">
      <c r="A6" s="1" t="s">
        <v>25</v>
      </c>
      <c r="B6" s="1" t="s">
        <v>82</v>
      </c>
      <c r="C6" s="1" t="s">
        <v>28</v>
      </c>
      <c r="D6" s="1" t="s">
        <v>83</v>
      </c>
      <c r="E6" s="1" t="s">
        <v>84</v>
      </c>
      <c r="F6" s="1" t="s">
        <v>85</v>
      </c>
    </row>
    <row r="7" spans="1:6" ht="30" x14ac:dyDescent="0.25">
      <c r="A7" s="1" t="s">
        <v>31</v>
      </c>
      <c r="B7" s="1" t="s">
        <v>32</v>
      </c>
      <c r="C7" s="1" t="s">
        <v>86</v>
      </c>
      <c r="D7" s="1" t="s">
        <v>87</v>
      </c>
      <c r="E7" s="1" t="s">
        <v>88</v>
      </c>
      <c r="F7" s="1" t="s">
        <v>89</v>
      </c>
    </row>
    <row r="8" spans="1:6" ht="30" x14ac:dyDescent="0.25">
      <c r="A8" s="1" t="s">
        <v>37</v>
      </c>
      <c r="B8" s="1" t="s">
        <v>90</v>
      </c>
      <c r="C8" s="1" t="s">
        <v>91</v>
      </c>
      <c r="D8" s="1" t="s">
        <v>92</v>
      </c>
      <c r="E8" s="1" t="s">
        <v>93</v>
      </c>
      <c r="F8" s="1" t="s">
        <v>94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3"/>
  <sheetViews>
    <sheetView showGridLines="0" workbookViewId="0">
      <pane ySplit="6" topLeftCell="A7" activePane="bottomLeft" state="frozen"/>
      <selection pane="bottomLeft" activeCell="H21" sqref="H21:J21"/>
    </sheetView>
  </sheetViews>
  <sheetFormatPr defaultRowHeight="15" x14ac:dyDescent="0.25"/>
  <cols>
    <col min="1" max="1" width="12" customWidth="1"/>
    <col min="2" max="3" width="22" customWidth="1"/>
    <col min="4" max="4" width="18" customWidth="1"/>
    <col min="5" max="5" width="14" customWidth="1"/>
    <col min="6" max="6" width="28" customWidth="1"/>
    <col min="7" max="7" width="4" customWidth="1"/>
    <col min="8" max="8" width="25.140625" bestFit="1" customWidth="1"/>
    <col min="9" max="9" width="18" customWidth="1"/>
    <col min="10" max="10" width="36" customWidth="1"/>
  </cols>
  <sheetData>
    <row r="1" spans="1:10" x14ac:dyDescent="0.25">
      <c r="A1" s="5" t="s">
        <v>95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 t="s">
        <v>208</v>
      </c>
      <c r="B3" s="6" t="s">
        <v>97</v>
      </c>
      <c r="C3" s="6"/>
      <c r="D3" s="6"/>
      <c r="E3" s="6"/>
      <c r="F3" s="6"/>
      <c r="G3" s="6"/>
      <c r="H3" s="6"/>
      <c r="I3" s="6"/>
      <c r="J3" s="6"/>
    </row>
    <row r="4" spans="1:10" x14ac:dyDescent="0.25">
      <c r="A4" s="2" t="s">
        <v>98</v>
      </c>
      <c r="B4" s="6" t="s">
        <v>209</v>
      </c>
      <c r="C4" s="6"/>
      <c r="D4" s="6"/>
      <c r="E4" s="6"/>
      <c r="F4" s="6"/>
      <c r="G4" s="6"/>
      <c r="H4" s="6"/>
      <c r="I4" s="6"/>
      <c r="J4" s="6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5.75" thickBot="1" x14ac:dyDescent="0.3">
      <c r="A6" s="1"/>
      <c r="B6" s="1"/>
      <c r="C6" s="1"/>
      <c r="D6" s="1"/>
      <c r="E6" s="1"/>
      <c r="F6" s="1"/>
      <c r="G6" s="1"/>
      <c r="H6" s="7" t="s">
        <v>210</v>
      </c>
      <c r="I6" s="7" t="s">
        <v>211</v>
      </c>
      <c r="J6" s="7"/>
    </row>
    <row r="7" spans="1:10" ht="15.75" thickTop="1" x14ac:dyDescent="0.25">
      <c r="A7" s="3" t="s">
        <v>99</v>
      </c>
      <c r="B7" s="3" t="s">
        <v>100</v>
      </c>
      <c r="C7" s="3" t="s">
        <v>101</v>
      </c>
      <c r="D7" s="3" t="s">
        <v>102</v>
      </c>
      <c r="E7" s="3" t="s">
        <v>103</v>
      </c>
      <c r="F7" s="3" t="s">
        <v>104</v>
      </c>
      <c r="G7" s="3"/>
      <c r="H7" s="4" t="s">
        <v>105</v>
      </c>
      <c r="I7" s="4" t="s">
        <v>106</v>
      </c>
      <c r="J7" s="4" t="s">
        <v>107</v>
      </c>
    </row>
    <row r="8" spans="1:10" x14ac:dyDescent="0.25">
      <c r="A8" s="1">
        <v>1</v>
      </c>
      <c r="B8" s="1">
        <v>12000</v>
      </c>
      <c r="C8" s="1">
        <v>83000</v>
      </c>
      <c r="D8" s="1" t="s">
        <v>108</v>
      </c>
      <c r="E8" s="1" t="s">
        <v>109</v>
      </c>
      <c r="F8" s="1" t="s">
        <v>110</v>
      </c>
      <c r="G8" s="1"/>
      <c r="H8" s="1"/>
      <c r="I8" s="1"/>
      <c r="J8" s="1"/>
    </row>
    <row r="9" spans="1:10" x14ac:dyDescent="0.25">
      <c r="A9" s="1">
        <v>2</v>
      </c>
      <c r="B9" s="1">
        <v>13500</v>
      </c>
      <c r="C9" s="1">
        <v>87000</v>
      </c>
      <c r="D9" s="1" t="s">
        <v>108</v>
      </c>
      <c r="E9" s="1" t="s">
        <v>109</v>
      </c>
      <c r="F9" s="1" t="s">
        <v>110</v>
      </c>
      <c r="G9" s="1"/>
      <c r="H9" s="1" t="s">
        <v>112</v>
      </c>
      <c r="I9" s="1">
        <f>COUNT(B8:B19)</f>
        <v>12</v>
      </c>
      <c r="J9" s="1" t="s">
        <v>113</v>
      </c>
    </row>
    <row r="10" spans="1:10" ht="90" x14ac:dyDescent="0.25">
      <c r="A10" s="1">
        <v>3</v>
      </c>
      <c r="B10" s="1">
        <v>15000</v>
      </c>
      <c r="C10" s="1">
        <v>92000</v>
      </c>
      <c r="D10" s="1" t="s">
        <v>114</v>
      </c>
      <c r="E10" s="1" t="s">
        <v>109</v>
      </c>
      <c r="F10" s="1" t="s">
        <v>110</v>
      </c>
      <c r="G10" s="1"/>
      <c r="H10" s="1" t="s">
        <v>115</v>
      </c>
      <c r="I10" s="1">
        <f>CORREL(B8:B19,C8:C19)</f>
        <v>0.99963092727553315</v>
      </c>
      <c r="J10" s="1" t="s">
        <v>226</v>
      </c>
    </row>
    <row r="11" spans="1:10" ht="60" x14ac:dyDescent="0.25">
      <c r="A11" s="1">
        <v>4</v>
      </c>
      <c r="B11" s="1">
        <v>16000</v>
      </c>
      <c r="C11" s="1">
        <v>97000</v>
      </c>
      <c r="D11" s="1" t="s">
        <v>114</v>
      </c>
      <c r="E11" s="1" t="s">
        <v>116</v>
      </c>
      <c r="F11" s="1" t="s">
        <v>110</v>
      </c>
      <c r="G11" s="1"/>
      <c r="H11" s="1" t="s">
        <v>117</v>
      </c>
      <c r="I11" s="1">
        <f>PEARSON(B8:B19,C8:C19)</f>
        <v>0.99963092727553315</v>
      </c>
      <c r="J11" s="1" t="s">
        <v>227</v>
      </c>
    </row>
    <row r="12" spans="1:10" ht="75" x14ac:dyDescent="0.25">
      <c r="A12" s="1">
        <v>5</v>
      </c>
      <c r="B12" s="1">
        <v>18000</v>
      </c>
      <c r="C12" s="1">
        <v>103000</v>
      </c>
      <c r="D12" s="1" t="s">
        <v>118</v>
      </c>
      <c r="E12" s="1" t="s">
        <v>116</v>
      </c>
      <c r="F12" s="1" t="s">
        <v>110</v>
      </c>
      <c r="G12" s="1"/>
      <c r="H12" s="1" t="s">
        <v>119</v>
      </c>
      <c r="I12" s="1">
        <f>RSQ(C8:C19,B8:B19)</f>
        <v>0.99926199076574274</v>
      </c>
      <c r="J12" s="1" t="s">
        <v>228</v>
      </c>
    </row>
    <row r="13" spans="1:10" x14ac:dyDescent="0.25">
      <c r="A13" s="1">
        <v>6</v>
      </c>
      <c r="B13" s="1">
        <v>21000</v>
      </c>
      <c r="C13" s="1">
        <v>112000</v>
      </c>
      <c r="D13" s="1" t="s">
        <v>108</v>
      </c>
      <c r="E13" s="1" t="s">
        <v>116</v>
      </c>
      <c r="F13" s="1" t="s">
        <v>110</v>
      </c>
      <c r="G13" s="1"/>
      <c r="H13" s="1"/>
      <c r="I13" s="1"/>
      <c r="J13" s="1"/>
    </row>
    <row r="14" spans="1:10" x14ac:dyDescent="0.25">
      <c r="A14" s="1">
        <v>7</v>
      </c>
      <c r="B14" s="1">
        <v>24000</v>
      </c>
      <c r="C14" s="1">
        <v>121000</v>
      </c>
      <c r="D14" s="1" t="s">
        <v>114</v>
      </c>
      <c r="E14" s="1" t="s">
        <v>120</v>
      </c>
      <c r="F14" s="1" t="s">
        <v>121</v>
      </c>
      <c r="G14" s="1"/>
      <c r="H14" s="1"/>
      <c r="I14" s="1"/>
      <c r="J14" s="1"/>
    </row>
    <row r="15" spans="1:10" x14ac:dyDescent="0.25">
      <c r="A15" s="1">
        <v>8</v>
      </c>
      <c r="B15" s="1">
        <v>26000</v>
      </c>
      <c r="C15" s="1">
        <v>127000</v>
      </c>
      <c r="D15" s="1" t="s">
        <v>114</v>
      </c>
      <c r="E15" s="1" t="s">
        <v>120</v>
      </c>
      <c r="F15" s="1" t="s">
        <v>121</v>
      </c>
      <c r="G15" s="1"/>
      <c r="H15" s="1"/>
      <c r="I15" s="1"/>
      <c r="J15" s="1"/>
    </row>
    <row r="16" spans="1:10" x14ac:dyDescent="0.25">
      <c r="A16" s="1">
        <v>9</v>
      </c>
      <c r="B16" s="1">
        <v>29000</v>
      </c>
      <c r="C16" s="1">
        <v>136000</v>
      </c>
      <c r="D16" s="1" t="s">
        <v>108</v>
      </c>
      <c r="E16" s="1" t="s">
        <v>120</v>
      </c>
      <c r="F16" s="1" t="s">
        <v>121</v>
      </c>
      <c r="G16" s="1"/>
      <c r="H16" s="1"/>
      <c r="I16" s="1"/>
      <c r="J16" s="1"/>
    </row>
    <row r="17" spans="1:10" x14ac:dyDescent="0.25">
      <c r="A17" s="1">
        <v>10</v>
      </c>
      <c r="B17" s="1">
        <v>31000</v>
      </c>
      <c r="C17" s="1">
        <v>142000</v>
      </c>
      <c r="D17" s="1" t="s">
        <v>118</v>
      </c>
      <c r="E17" s="1" t="s">
        <v>122</v>
      </c>
      <c r="F17" s="1" t="s">
        <v>123</v>
      </c>
      <c r="G17" s="1"/>
      <c r="H17" s="1"/>
      <c r="I17" s="1"/>
      <c r="J17" s="1"/>
    </row>
    <row r="18" spans="1:10" x14ac:dyDescent="0.25">
      <c r="A18" s="1">
        <v>11</v>
      </c>
      <c r="B18" s="1">
        <v>34000</v>
      </c>
      <c r="C18" s="1">
        <v>153000</v>
      </c>
      <c r="D18" s="1" t="s">
        <v>108</v>
      </c>
      <c r="E18" s="1" t="s">
        <v>122</v>
      </c>
      <c r="F18" s="1" t="s">
        <v>123</v>
      </c>
      <c r="G18" s="1"/>
      <c r="H18" s="1"/>
      <c r="I18" s="1"/>
      <c r="J18" s="1"/>
    </row>
    <row r="19" spans="1:10" x14ac:dyDescent="0.25">
      <c r="A19" s="1">
        <v>12</v>
      </c>
      <c r="B19" s="1">
        <v>37000</v>
      </c>
      <c r="C19" s="1">
        <v>162000</v>
      </c>
      <c r="D19" s="1" t="s">
        <v>114</v>
      </c>
      <c r="E19" s="1" t="s">
        <v>122</v>
      </c>
      <c r="F19" s="1" t="s">
        <v>123</v>
      </c>
      <c r="G19" s="1"/>
      <c r="H19" s="1"/>
      <c r="I19" s="1"/>
      <c r="J19" s="1"/>
    </row>
    <row r="21" spans="1:10" ht="32.25" thickBot="1" x14ac:dyDescent="0.3">
      <c r="H21" s="17" t="s">
        <v>212</v>
      </c>
      <c r="I21" s="18"/>
      <c r="J21" s="8"/>
    </row>
    <row r="22" spans="1:10" ht="75.75" customHeight="1" thickTop="1" x14ac:dyDescent="0.25">
      <c r="H22" s="20" t="s">
        <v>96</v>
      </c>
      <c r="I22" s="22" t="s">
        <v>213</v>
      </c>
      <c r="J22" s="23"/>
    </row>
    <row r="23" spans="1:10" ht="45" customHeight="1" x14ac:dyDescent="0.25">
      <c r="H23" s="20" t="s">
        <v>214</v>
      </c>
      <c r="I23" s="24" t="s">
        <v>215</v>
      </c>
      <c r="J23" s="25"/>
    </row>
    <row r="24" spans="1:10" ht="135" customHeight="1" x14ac:dyDescent="0.25">
      <c r="H24" s="20" t="s">
        <v>216</v>
      </c>
      <c r="I24" s="24" t="s">
        <v>217</v>
      </c>
      <c r="J24" s="25"/>
    </row>
    <row r="25" spans="1:10" x14ac:dyDescent="0.25">
      <c r="H25" s="19" t="s">
        <v>113</v>
      </c>
      <c r="I25" s="9">
        <f>COUNT(B8:B19)</f>
        <v>12</v>
      </c>
      <c r="J25" s="16"/>
    </row>
    <row r="26" spans="1:10" x14ac:dyDescent="0.25">
      <c r="H26" s="19" t="s">
        <v>115</v>
      </c>
      <c r="I26" s="10">
        <f>CORREL(B8:B19,C8:C19)</f>
        <v>0.99963092727553315</v>
      </c>
      <c r="J26" s="16"/>
    </row>
    <row r="27" spans="1:10" x14ac:dyDescent="0.25">
      <c r="H27" s="19" t="s">
        <v>119</v>
      </c>
      <c r="I27" s="11">
        <f>RSQ(C8:C19,B8:B19)</f>
        <v>0.99926199076574274</v>
      </c>
      <c r="J27" s="16"/>
    </row>
    <row r="28" spans="1:10" x14ac:dyDescent="0.25">
      <c r="H28" s="19" t="s">
        <v>218</v>
      </c>
      <c r="I28" s="12">
        <f>I26*SQRT((I25-2)/(1-I26^2))</f>
        <v>116.36135938018876</v>
      </c>
      <c r="J28" s="16"/>
    </row>
    <row r="29" spans="1:10" x14ac:dyDescent="0.25">
      <c r="H29" s="19" t="s">
        <v>219</v>
      </c>
      <c r="I29" s="13">
        <f>TDIST(ABS(I28),I25-2,2)</f>
        <v>5.3894339498428068E-17</v>
      </c>
      <c r="J29" s="16"/>
    </row>
    <row r="30" spans="1:10" ht="60" x14ac:dyDescent="0.25">
      <c r="H30" s="19" t="s">
        <v>220</v>
      </c>
      <c r="I30" s="14" t="str">
        <f>IF(I29&lt;0.05,"Reject H0: statistically significant relationship","Fail to reject H0: insufficient evidence of relationship")</f>
        <v>Reject H0: statistically significant relationship</v>
      </c>
      <c r="J30" s="16"/>
    </row>
    <row r="31" spans="1:10" ht="135" customHeight="1" x14ac:dyDescent="0.25">
      <c r="H31" s="19" t="s">
        <v>74</v>
      </c>
      <c r="I31" s="24" t="s">
        <v>221</v>
      </c>
      <c r="J31" s="25"/>
    </row>
    <row r="32" spans="1:10" ht="135" customHeight="1" x14ac:dyDescent="0.25">
      <c r="H32" s="19" t="s">
        <v>222</v>
      </c>
      <c r="I32" s="24" t="s">
        <v>223</v>
      </c>
      <c r="J32" s="25"/>
    </row>
    <row r="33" spans="8:10" ht="135" customHeight="1" x14ac:dyDescent="0.25">
      <c r="H33" s="21" t="s">
        <v>224</v>
      </c>
      <c r="I33" s="26" t="s">
        <v>225</v>
      </c>
      <c r="J33" s="27"/>
    </row>
  </sheetData>
  <mergeCells count="9">
    <mergeCell ref="I24:J24"/>
    <mergeCell ref="I31:J31"/>
    <mergeCell ref="I32:J32"/>
    <mergeCell ref="I33:J33"/>
    <mergeCell ref="A1:J1"/>
    <mergeCell ref="B3:J3"/>
    <mergeCell ref="B4:J4"/>
    <mergeCell ref="I22:J22"/>
    <mergeCell ref="I23:J23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8"/>
  <sheetViews>
    <sheetView showGridLines="0" topLeftCell="C1" workbookViewId="0">
      <pane ySplit="6" topLeftCell="A16" activePane="bottomLeft" state="frozen"/>
      <selection pane="bottomLeft" activeCell="I14" sqref="I14:L14"/>
    </sheetView>
  </sheetViews>
  <sheetFormatPr defaultRowHeight="15" x14ac:dyDescent="0.25"/>
  <cols>
    <col min="1" max="1" width="14" customWidth="1"/>
    <col min="2" max="2" width="20.5703125" bestFit="1" customWidth="1"/>
    <col min="3" max="3" width="16.7109375" bestFit="1" customWidth="1"/>
    <col min="4" max="4" width="10.140625" bestFit="1" customWidth="1"/>
    <col min="5" max="5" width="10" bestFit="1" customWidth="1"/>
    <col min="6" max="6" width="14.28515625" bestFit="1" customWidth="1"/>
    <col min="7" max="7" width="16.7109375" bestFit="1" customWidth="1"/>
    <col min="8" max="8" width="4" customWidth="1"/>
    <col min="9" max="9" width="13.42578125" bestFit="1" customWidth="1"/>
    <col min="10" max="10" width="29.85546875" bestFit="1" customWidth="1"/>
    <col min="11" max="11" width="88.42578125" bestFit="1" customWidth="1"/>
    <col min="12" max="12" width="11.5703125" bestFit="1" customWidth="1"/>
    <col min="14" max="15" width="20.7109375" customWidth="1"/>
    <col min="16" max="16" width="3.28515625" customWidth="1"/>
    <col min="17" max="17" width="11.28515625" bestFit="1" customWidth="1"/>
    <col min="18" max="18" width="14.140625" bestFit="1" customWidth="1"/>
    <col min="19" max="19" width="4.28515625" customWidth="1"/>
    <col min="20" max="20" width="16.85546875" bestFit="1" customWidth="1"/>
    <col min="21" max="21" width="15.42578125" bestFit="1" customWidth="1"/>
  </cols>
  <sheetData>
    <row r="1" spans="1:21" ht="15.75" x14ac:dyDescent="0.25">
      <c r="A1" s="5" t="s">
        <v>124</v>
      </c>
      <c r="B1" s="6"/>
      <c r="C1" s="6"/>
      <c r="D1" s="6"/>
      <c r="E1" s="6"/>
      <c r="F1" s="6"/>
      <c r="G1" s="6"/>
      <c r="H1" s="6"/>
      <c r="I1" s="6"/>
      <c r="J1" s="6"/>
      <c r="K1" s="6"/>
      <c r="L1" s="1"/>
      <c r="N1" s="28" t="s">
        <v>229</v>
      </c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21" ht="30" x14ac:dyDescent="0.25">
      <c r="A3" s="2" t="s">
        <v>96</v>
      </c>
      <c r="B3" s="6" t="s">
        <v>125</v>
      </c>
      <c r="C3" s="6"/>
      <c r="D3" s="6"/>
      <c r="E3" s="6"/>
      <c r="F3" s="6"/>
      <c r="G3" s="6"/>
      <c r="H3" s="6"/>
      <c r="I3" s="6"/>
      <c r="J3" s="6"/>
      <c r="K3" s="6"/>
      <c r="L3" s="1"/>
      <c r="N3" s="29" t="s">
        <v>127</v>
      </c>
      <c r="O3" s="29" t="s">
        <v>128</v>
      </c>
      <c r="Q3" s="29" t="s">
        <v>230</v>
      </c>
      <c r="R3" s="31" t="s">
        <v>231</v>
      </c>
      <c r="T3" s="31" t="s">
        <v>232</v>
      </c>
      <c r="U3" s="31" t="s">
        <v>233</v>
      </c>
    </row>
    <row r="4" spans="1:21" x14ac:dyDescent="0.25">
      <c r="A4" s="2" t="s">
        <v>98</v>
      </c>
      <c r="B4" s="6"/>
      <c r="C4" s="6"/>
      <c r="D4" s="6"/>
      <c r="E4" s="6"/>
      <c r="F4" s="6"/>
      <c r="G4" s="6"/>
      <c r="H4" s="6"/>
      <c r="I4" s="6"/>
      <c r="J4" s="6"/>
      <c r="K4" s="6"/>
      <c r="L4" s="1"/>
      <c r="N4">
        <v>1</v>
      </c>
      <c r="O4">
        <v>4</v>
      </c>
      <c r="Q4">
        <v>1</v>
      </c>
      <c r="R4">
        <f>AVERAGEIF($B$8:$B$21,Q4,$C$8:$C$21)</f>
        <v>4.5</v>
      </c>
      <c r="T4" s="32" t="s">
        <v>234</v>
      </c>
      <c r="U4">
        <f>COUNTIFS($C$8:$C$21,"&lt;=10")</f>
        <v>3</v>
      </c>
    </row>
    <row r="5" spans="1:2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N5">
        <v>1</v>
      </c>
      <c r="O5">
        <v>5</v>
      </c>
      <c r="Q5">
        <v>2</v>
      </c>
      <c r="R5">
        <f>AVERAGEIF($B$8:$B$21,Q5,$C$8:$C$21)</f>
        <v>11</v>
      </c>
      <c r="T5" s="32" t="s">
        <v>248</v>
      </c>
      <c r="U5">
        <f>COUNTIFS($C$8:$C$21,"&gt;=11",$C$8:$C$21,"&lt;=20")</f>
        <v>3</v>
      </c>
    </row>
    <row r="6" spans="1:21" ht="15.75" thickBot="1" x14ac:dyDescent="0.3">
      <c r="A6" s="1"/>
      <c r="B6" s="1"/>
      <c r="C6" s="1"/>
      <c r="D6" s="1"/>
      <c r="E6" s="1"/>
      <c r="F6" s="1"/>
      <c r="G6" s="1"/>
      <c r="H6" s="1"/>
      <c r="I6" s="34" t="s">
        <v>249</v>
      </c>
      <c r="J6" s="35"/>
      <c r="K6" s="35"/>
      <c r="L6" s="36"/>
      <c r="N6">
        <v>2</v>
      </c>
      <c r="O6">
        <v>9</v>
      </c>
      <c r="Q6">
        <v>3</v>
      </c>
      <c r="R6">
        <f>AVERAGEIF($B$8:$B$21,Q6,$C$8:$C$21)</f>
        <v>23</v>
      </c>
      <c r="T6" s="32" t="s">
        <v>235</v>
      </c>
      <c r="U6">
        <f>COUNTIFS($C$8:$C$21,"&gt;=21",$C$8:$C$21,"&lt;=40")</f>
        <v>2</v>
      </c>
    </row>
    <row r="7" spans="1:21" ht="15.75" thickTop="1" x14ac:dyDescent="0.25">
      <c r="A7" s="3" t="s">
        <v>126</v>
      </c>
      <c r="B7" s="3" t="s">
        <v>127</v>
      </c>
      <c r="C7" s="3" t="s">
        <v>128</v>
      </c>
      <c r="D7" s="3" t="s">
        <v>129</v>
      </c>
      <c r="E7" s="3" t="s">
        <v>130</v>
      </c>
      <c r="F7" s="3" t="s">
        <v>131</v>
      </c>
      <c r="G7" s="3" t="s">
        <v>104</v>
      </c>
      <c r="H7" s="3"/>
      <c r="I7" s="3" t="s">
        <v>105</v>
      </c>
      <c r="J7" s="3" t="s">
        <v>106</v>
      </c>
      <c r="K7" s="3" t="s">
        <v>107</v>
      </c>
      <c r="L7" s="1"/>
      <c r="N7">
        <v>2</v>
      </c>
      <c r="O7">
        <v>11</v>
      </c>
      <c r="Q7">
        <v>4</v>
      </c>
      <c r="R7">
        <f>AVERAGEIF($B$8:$B$21,Q7,$C$8:$C$21)</f>
        <v>47.333333333333336</v>
      </c>
      <c r="T7" s="32" t="s">
        <v>236</v>
      </c>
      <c r="U7">
        <f>COUNTIFS($C$8:$C$21,"&gt;=41",$C$8:$C$21,"&lt;=60")</f>
        <v>3</v>
      </c>
    </row>
    <row r="8" spans="1:21" x14ac:dyDescent="0.25">
      <c r="A8" s="1" t="s">
        <v>132</v>
      </c>
      <c r="B8" s="1">
        <v>1</v>
      </c>
      <c r="C8" s="1">
        <v>4</v>
      </c>
      <c r="D8" s="1" t="s">
        <v>133</v>
      </c>
      <c r="E8" s="1">
        <f>1+COUNTIF($B$8:$B$21,"&lt;"&amp;B8)+(COUNTIF($B$8:$B$21,B8)-1)/2</f>
        <v>1.5</v>
      </c>
      <c r="F8" s="1">
        <f>1+COUNTIF($C$8:$C$21,"&lt;"&amp;C8)+(COUNTIF($C$8:$C$21,C8)-1)/2</f>
        <v>1</v>
      </c>
      <c r="G8" s="1" t="s">
        <v>134</v>
      </c>
      <c r="H8" s="1"/>
      <c r="I8" s="4" t="s">
        <v>105</v>
      </c>
      <c r="J8" s="4" t="s">
        <v>106</v>
      </c>
      <c r="K8" s="4" t="s">
        <v>107</v>
      </c>
      <c r="L8" s="4" t="s">
        <v>111</v>
      </c>
      <c r="N8">
        <v>2</v>
      </c>
      <c r="O8">
        <v>13</v>
      </c>
      <c r="Q8">
        <v>5</v>
      </c>
      <c r="R8">
        <f>AVERAGEIF($B$8:$B$21,Q8,$C$8:$C$21)</f>
        <v>74.666666666666671</v>
      </c>
      <c r="T8" s="32" t="s">
        <v>237</v>
      </c>
      <c r="U8">
        <f>COUNTIFS($C$8:$C$21,"&gt;=61",$C$8:$C$21,"&lt;=80")</f>
        <v>2</v>
      </c>
    </row>
    <row r="9" spans="1:21" x14ac:dyDescent="0.25">
      <c r="A9" s="1" t="s">
        <v>135</v>
      </c>
      <c r="B9" s="1">
        <v>1</v>
      </c>
      <c r="C9" s="1">
        <v>5</v>
      </c>
      <c r="D9" s="1" t="s">
        <v>136</v>
      </c>
      <c r="E9" s="1">
        <f t="shared" ref="E9:E21" si="0">1+COUNTIF($B$8:$B$21,"&lt;"&amp;B9)+(COUNTIF($B$8:$B$21,B9)-1)/2</f>
        <v>1.5</v>
      </c>
      <c r="F9" s="1">
        <f t="shared" ref="F9:F21" si="1">1+COUNTIF($C$8:$C$21,"&lt;"&amp;C9)+(COUNTIF($C$8:$C$21,C9)-1)/2</f>
        <v>2</v>
      </c>
      <c r="G9" s="1" t="s">
        <v>134</v>
      </c>
      <c r="H9" s="1"/>
      <c r="I9" s="1" t="s">
        <v>137</v>
      </c>
      <c r="J9" s="1">
        <f>COUNT(B8:B21)</f>
        <v>14</v>
      </c>
      <c r="K9" s="1" t="s">
        <v>113</v>
      </c>
      <c r="L9" s="1">
        <f>COUNT(B8:B21)</f>
        <v>14</v>
      </c>
      <c r="N9">
        <v>3</v>
      </c>
      <c r="O9">
        <v>19</v>
      </c>
      <c r="T9" s="32" t="s">
        <v>238</v>
      </c>
      <c r="U9">
        <f>COUNTIFS($C$8:$C$21,"&gt;=81")</f>
        <v>1</v>
      </c>
    </row>
    <row r="10" spans="1:21" x14ac:dyDescent="0.25">
      <c r="A10" s="1" t="s">
        <v>138</v>
      </c>
      <c r="B10" s="1">
        <v>2</v>
      </c>
      <c r="C10" s="1">
        <v>9</v>
      </c>
      <c r="D10" s="1" t="s">
        <v>136</v>
      </c>
      <c r="E10" s="1">
        <f t="shared" si="0"/>
        <v>4</v>
      </c>
      <c r="F10" s="1">
        <f t="shared" si="1"/>
        <v>3</v>
      </c>
      <c r="G10" s="1" t="s">
        <v>139</v>
      </c>
      <c r="H10" s="1"/>
      <c r="I10" s="1" t="s">
        <v>115</v>
      </c>
      <c r="J10" s="1">
        <f>CORREL(B8:B21,C8:C21)</f>
        <v>0.95645137691641779</v>
      </c>
      <c r="K10" s="1" t="s">
        <v>140</v>
      </c>
      <c r="L10" s="1">
        <f>CORREL(B8:B21,C8:C21)</f>
        <v>0.95645137691641779</v>
      </c>
      <c r="N10">
        <v>3</v>
      </c>
      <c r="O10">
        <v>23</v>
      </c>
    </row>
    <row r="11" spans="1:21" x14ac:dyDescent="0.25">
      <c r="A11" s="1" t="s">
        <v>141</v>
      </c>
      <c r="B11" s="1">
        <v>2</v>
      </c>
      <c r="C11" s="1">
        <v>11</v>
      </c>
      <c r="D11" s="1" t="s">
        <v>142</v>
      </c>
      <c r="E11" s="1">
        <f t="shared" si="0"/>
        <v>4</v>
      </c>
      <c r="F11" s="1">
        <f t="shared" si="1"/>
        <v>4</v>
      </c>
      <c r="G11" s="1" t="s">
        <v>139</v>
      </c>
      <c r="H11" s="1"/>
      <c r="I11" s="41" t="s">
        <v>143</v>
      </c>
      <c r="J11" s="41">
        <f>CORREL(E8:E21,F8:F21)</f>
        <v>0.98114084750221398</v>
      </c>
      <c r="K11" s="41" t="s">
        <v>144</v>
      </c>
      <c r="L11" s="41">
        <f>CORREL(E8:E21,F8:F21)</f>
        <v>0.98114084750221398</v>
      </c>
      <c r="N11">
        <v>3</v>
      </c>
      <c r="O11">
        <v>27</v>
      </c>
    </row>
    <row r="12" spans="1:21" x14ac:dyDescent="0.25">
      <c r="A12" s="1" t="s">
        <v>145</v>
      </c>
      <c r="B12" s="1">
        <v>2</v>
      </c>
      <c r="C12" s="1">
        <v>13</v>
      </c>
      <c r="D12" s="1" t="s">
        <v>136</v>
      </c>
      <c r="E12" s="1">
        <f t="shared" si="0"/>
        <v>4</v>
      </c>
      <c r="F12" s="1">
        <f t="shared" si="1"/>
        <v>5</v>
      </c>
      <c r="G12" s="1" t="s">
        <v>139</v>
      </c>
      <c r="H12" s="40"/>
      <c r="N12">
        <v>4</v>
      </c>
      <c r="O12">
        <v>41</v>
      </c>
    </row>
    <row r="13" spans="1:21" x14ac:dyDescent="0.25">
      <c r="A13" s="1" t="s">
        <v>146</v>
      </c>
      <c r="B13" s="1">
        <v>3</v>
      </c>
      <c r="C13" s="1">
        <v>19</v>
      </c>
      <c r="D13" s="1" t="s">
        <v>133</v>
      </c>
      <c r="E13" s="1">
        <f t="shared" si="0"/>
        <v>7</v>
      </c>
      <c r="F13" s="1">
        <f t="shared" si="1"/>
        <v>6</v>
      </c>
      <c r="G13" s="1" t="s">
        <v>147</v>
      </c>
      <c r="H13" s="40"/>
      <c r="N13">
        <v>4</v>
      </c>
      <c r="O13">
        <v>46</v>
      </c>
    </row>
    <row r="14" spans="1:21" ht="15.75" x14ac:dyDescent="0.25">
      <c r="A14" s="1" t="s">
        <v>148</v>
      </c>
      <c r="B14" s="1">
        <v>3</v>
      </c>
      <c r="C14" s="1">
        <v>23</v>
      </c>
      <c r="D14" s="1" t="s">
        <v>136</v>
      </c>
      <c r="E14" s="1">
        <f t="shared" si="0"/>
        <v>7</v>
      </c>
      <c r="F14" s="1">
        <f t="shared" si="1"/>
        <v>7</v>
      </c>
      <c r="G14" s="1" t="s">
        <v>147</v>
      </c>
      <c r="H14" s="40"/>
      <c r="I14" s="46" t="s">
        <v>250</v>
      </c>
      <c r="J14" s="33"/>
      <c r="K14" s="33"/>
      <c r="L14" s="47"/>
      <c r="N14">
        <v>4</v>
      </c>
      <c r="O14">
        <v>55</v>
      </c>
    </row>
    <row r="15" spans="1:21" ht="30" x14ac:dyDescent="0.25">
      <c r="A15" s="1" t="s">
        <v>149</v>
      </c>
      <c r="B15" s="1">
        <v>3</v>
      </c>
      <c r="C15" s="1">
        <v>27</v>
      </c>
      <c r="D15" s="1" t="s">
        <v>142</v>
      </c>
      <c r="E15" s="1">
        <f t="shared" si="0"/>
        <v>7</v>
      </c>
      <c r="F15" s="1">
        <f t="shared" si="1"/>
        <v>8</v>
      </c>
      <c r="G15" s="1" t="s">
        <v>147</v>
      </c>
      <c r="H15" s="40"/>
      <c r="I15" s="20" t="s">
        <v>96</v>
      </c>
      <c r="J15" s="14" t="s">
        <v>251</v>
      </c>
      <c r="K15" s="14" t="s">
        <v>252</v>
      </c>
      <c r="L15" s="15"/>
      <c r="N15">
        <v>5</v>
      </c>
      <c r="O15">
        <v>68</v>
      </c>
    </row>
    <row r="16" spans="1:21" ht="30" x14ac:dyDescent="0.25">
      <c r="A16" s="1" t="s">
        <v>150</v>
      </c>
      <c r="B16" s="1">
        <v>4</v>
      </c>
      <c r="C16" s="1">
        <v>41</v>
      </c>
      <c r="D16" s="1" t="s">
        <v>136</v>
      </c>
      <c r="E16" s="1">
        <f t="shared" si="0"/>
        <v>10</v>
      </c>
      <c r="F16" s="1">
        <f t="shared" si="1"/>
        <v>9</v>
      </c>
      <c r="G16" s="1" t="s">
        <v>151</v>
      </c>
      <c r="H16" s="40"/>
      <c r="I16" s="20" t="s">
        <v>214</v>
      </c>
      <c r="J16" s="14" t="s">
        <v>253</v>
      </c>
      <c r="K16" s="14" t="s">
        <v>254</v>
      </c>
      <c r="L16" s="15"/>
      <c r="N16">
        <v>5</v>
      </c>
      <c r="O16">
        <v>74</v>
      </c>
    </row>
    <row r="17" spans="1:15" ht="30" x14ac:dyDescent="0.25">
      <c r="A17" s="1" t="s">
        <v>152</v>
      </c>
      <c r="B17" s="1">
        <v>4</v>
      </c>
      <c r="C17" s="1">
        <v>46</v>
      </c>
      <c r="D17" s="1" t="s">
        <v>142</v>
      </c>
      <c r="E17" s="1">
        <f t="shared" si="0"/>
        <v>10</v>
      </c>
      <c r="F17" s="1">
        <f t="shared" si="1"/>
        <v>10</v>
      </c>
      <c r="G17" s="1" t="s">
        <v>151</v>
      </c>
      <c r="H17" s="40"/>
      <c r="I17" s="20" t="s">
        <v>216</v>
      </c>
      <c r="J17" s="14" t="s">
        <v>255</v>
      </c>
      <c r="K17" s="14" t="s">
        <v>256</v>
      </c>
      <c r="L17" s="15"/>
      <c r="N17">
        <v>5</v>
      </c>
      <c r="O17">
        <v>82</v>
      </c>
    </row>
    <row r="18" spans="1:15" x14ac:dyDescent="0.25">
      <c r="A18" s="1" t="s">
        <v>153</v>
      </c>
      <c r="B18" s="1">
        <v>4</v>
      </c>
      <c r="C18" s="1">
        <v>55</v>
      </c>
      <c r="D18" s="1" t="s">
        <v>133</v>
      </c>
      <c r="E18" s="1">
        <f t="shared" si="0"/>
        <v>10</v>
      </c>
      <c r="F18" s="1">
        <f t="shared" si="1"/>
        <v>11</v>
      </c>
      <c r="G18" s="1" t="s">
        <v>151</v>
      </c>
      <c r="H18" s="40"/>
      <c r="I18" s="19" t="s">
        <v>113</v>
      </c>
      <c r="J18" s="9">
        <f>COUNT(B8:B21)</f>
        <v>14</v>
      </c>
      <c r="K18" s="14" t="s">
        <v>257</v>
      </c>
      <c r="L18" s="15">
        <f>COUNT(B8:B21)</f>
        <v>14</v>
      </c>
    </row>
    <row r="19" spans="1:15" x14ac:dyDescent="0.25">
      <c r="A19" s="1" t="s">
        <v>154</v>
      </c>
      <c r="B19" s="1">
        <v>5</v>
      </c>
      <c r="C19" s="1">
        <v>68</v>
      </c>
      <c r="D19" s="1" t="s">
        <v>136</v>
      </c>
      <c r="E19" s="1">
        <f t="shared" si="0"/>
        <v>13</v>
      </c>
      <c r="F19" s="1">
        <f t="shared" si="1"/>
        <v>12</v>
      </c>
      <c r="G19" s="1" t="s">
        <v>155</v>
      </c>
      <c r="H19" s="40"/>
      <c r="I19" s="19" t="s">
        <v>258</v>
      </c>
      <c r="J19" s="14" t="s">
        <v>259</v>
      </c>
      <c r="K19" s="14" t="s">
        <v>260</v>
      </c>
      <c r="L19" s="15"/>
    </row>
    <row r="20" spans="1:15" ht="30" x14ac:dyDescent="0.25">
      <c r="A20" s="1" t="s">
        <v>156</v>
      </c>
      <c r="B20" s="1">
        <v>5</v>
      </c>
      <c r="C20" s="1">
        <v>74</v>
      </c>
      <c r="D20" s="1" t="s">
        <v>142</v>
      </c>
      <c r="E20" s="1">
        <f t="shared" si="0"/>
        <v>13</v>
      </c>
      <c r="F20" s="1">
        <f t="shared" si="1"/>
        <v>13</v>
      </c>
      <c r="G20" s="1" t="s">
        <v>155</v>
      </c>
      <c r="H20" s="40"/>
      <c r="I20" s="19" t="s">
        <v>261</v>
      </c>
      <c r="J20" s="14" t="s">
        <v>262</v>
      </c>
      <c r="K20" s="14" t="s">
        <v>263</v>
      </c>
      <c r="L20" s="15"/>
      <c r="N20" s="29" t="s">
        <v>239</v>
      </c>
    </row>
    <row r="21" spans="1:15" ht="30" x14ac:dyDescent="0.25">
      <c r="A21" s="1" t="s">
        <v>157</v>
      </c>
      <c r="B21" s="1">
        <v>5</v>
      </c>
      <c r="C21" s="1">
        <v>82</v>
      </c>
      <c r="D21" s="1" t="s">
        <v>136</v>
      </c>
      <c r="E21" s="1">
        <f t="shared" si="0"/>
        <v>13</v>
      </c>
      <c r="F21" s="1">
        <f t="shared" si="1"/>
        <v>14</v>
      </c>
      <c r="G21" s="1" t="s">
        <v>155</v>
      </c>
      <c r="H21" s="40"/>
      <c r="I21" s="19" t="s">
        <v>143</v>
      </c>
      <c r="J21" s="10">
        <f>CORREL(E8:E21,F8:F21)</f>
        <v>0.98114084750221398</v>
      </c>
      <c r="K21" s="14" t="s">
        <v>264</v>
      </c>
      <c r="L21" s="15">
        <f>CORREL(E8:E21,F8:F21)</f>
        <v>0.98114084750221398</v>
      </c>
      <c r="N21" s="30" t="s">
        <v>240</v>
      </c>
      <c r="O21" t="s">
        <v>241</v>
      </c>
    </row>
    <row r="22" spans="1:15" ht="30" x14ac:dyDescent="0.25">
      <c r="I22" s="19" t="s">
        <v>265</v>
      </c>
      <c r="J22" s="14" t="str">
        <f>IF(ABS(J21)&gt;=0.8,"Very strong",IF(ABS(J21)&gt;=0.6,"Strong",IF(ABS(J21)&gt;=0.3,"Moderate",IF(ABS(J21)&gt;=0.1,"Weak","Little/none"))))</f>
        <v>Very strong</v>
      </c>
      <c r="K22" s="14" t="s">
        <v>266</v>
      </c>
      <c r="L22" s="15"/>
      <c r="N22" s="30" t="s">
        <v>242</v>
      </c>
      <c r="O22" t="s">
        <v>243</v>
      </c>
    </row>
    <row r="23" spans="1:15" x14ac:dyDescent="0.25">
      <c r="I23" s="19" t="s">
        <v>218</v>
      </c>
      <c r="J23" s="12">
        <f>J21*SQRT((J18-2)/(1-J21^2))</f>
        <v>17.583414645291043</v>
      </c>
      <c r="K23" s="14" t="s">
        <v>267</v>
      </c>
      <c r="L23" s="15"/>
      <c r="N23" s="30" t="s">
        <v>244</v>
      </c>
      <c r="O23" t="s">
        <v>245</v>
      </c>
    </row>
    <row r="24" spans="1:15" x14ac:dyDescent="0.25">
      <c r="I24" s="48" t="s">
        <v>219</v>
      </c>
      <c r="J24" s="50">
        <f>TDIST(ABS(J23),J18-2,2)</f>
        <v>6.2374750684430908E-10</v>
      </c>
      <c r="K24" s="37" t="s">
        <v>268</v>
      </c>
      <c r="L24" s="44"/>
      <c r="N24" s="30" t="s">
        <v>246</v>
      </c>
      <c r="O24" t="s">
        <v>247</v>
      </c>
    </row>
    <row r="25" spans="1:15" x14ac:dyDescent="0.25">
      <c r="I25" s="48" t="s">
        <v>220</v>
      </c>
      <c r="J25" s="39" t="str">
        <f>IF(J24&lt;0.05,"Reject H0","Fail to reject H0")</f>
        <v>Reject H0</v>
      </c>
      <c r="K25" s="39" t="str">
        <f>IF(J24&lt;0.05,"Evidence supports a statistically significant relationship between customer effort and churn risk.","Insufficient evidence to conclude the variables are related.")</f>
        <v>Evidence supports a statistically significant relationship between customer effort and churn risk.</v>
      </c>
      <c r="L25" s="44"/>
    </row>
    <row r="26" spans="1:15" ht="45" x14ac:dyDescent="0.25">
      <c r="I26" s="48" t="s">
        <v>74</v>
      </c>
      <c r="J26" s="39" t="s">
        <v>269</v>
      </c>
      <c r="K26" s="38" t="s">
        <v>270</v>
      </c>
      <c r="L26" s="44"/>
    </row>
    <row r="27" spans="1:15" ht="30" x14ac:dyDescent="0.25">
      <c r="I27" s="48" t="s">
        <v>222</v>
      </c>
      <c r="J27" s="39" t="s">
        <v>271</v>
      </c>
      <c r="K27" s="38" t="s">
        <v>272</v>
      </c>
      <c r="L27" s="44"/>
    </row>
    <row r="28" spans="1:15" ht="30" x14ac:dyDescent="0.25">
      <c r="I28" s="49" t="s">
        <v>224</v>
      </c>
      <c r="J28" s="42" t="s">
        <v>273</v>
      </c>
      <c r="K28" s="43" t="s">
        <v>274</v>
      </c>
      <c r="L28" s="45"/>
    </row>
  </sheetData>
  <mergeCells count="5">
    <mergeCell ref="B4:K4"/>
    <mergeCell ref="A1:K1"/>
    <mergeCell ref="B3:K3"/>
    <mergeCell ref="I14:L14"/>
    <mergeCell ref="I6:L6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1"/>
  <sheetViews>
    <sheetView showGridLines="0" topLeftCell="D1" workbookViewId="0">
      <pane ySplit="6" topLeftCell="A7" activePane="bottomLeft" state="frozen"/>
      <selection pane="bottomLeft" activeCell="H14" sqref="H14:K14"/>
    </sheetView>
  </sheetViews>
  <sheetFormatPr defaultRowHeight="15" x14ac:dyDescent="0.25"/>
  <cols>
    <col min="1" max="1" width="14" customWidth="1"/>
    <col min="2" max="3" width="22" customWidth="1"/>
    <col min="4" max="5" width="16" customWidth="1"/>
    <col min="6" max="6" width="24" customWidth="1"/>
    <col min="7" max="7" width="4" customWidth="1"/>
    <col min="8" max="8" width="27.7109375" bestFit="1" customWidth="1"/>
    <col min="9" max="9" width="49.140625" bestFit="1" customWidth="1"/>
    <col min="10" max="10" width="76.28515625" bestFit="1" customWidth="1"/>
    <col min="11" max="11" width="12" bestFit="1" customWidth="1"/>
  </cols>
  <sheetData>
    <row r="1" spans="1:11" x14ac:dyDescent="0.25">
      <c r="A1" s="5" t="s">
        <v>158</v>
      </c>
      <c r="B1" s="6"/>
      <c r="C1" s="6"/>
      <c r="D1" s="6"/>
      <c r="E1" s="6"/>
      <c r="F1" s="6"/>
      <c r="G1" s="6"/>
      <c r="H1" s="6"/>
      <c r="I1" s="6"/>
      <c r="J1" s="6"/>
      <c r="K1" s="1"/>
    </row>
    <row r="2" spans="1:1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30" x14ac:dyDescent="0.25">
      <c r="A3" s="2" t="s">
        <v>96</v>
      </c>
      <c r="B3" s="6" t="s">
        <v>159</v>
      </c>
      <c r="C3" s="6"/>
      <c r="D3" s="6"/>
      <c r="E3" s="6"/>
      <c r="F3" s="6"/>
      <c r="G3" s="6"/>
      <c r="H3" s="6"/>
      <c r="I3" s="6"/>
      <c r="J3" s="6"/>
      <c r="K3" s="1"/>
    </row>
    <row r="4" spans="1:11" x14ac:dyDescent="0.25">
      <c r="A4" s="2" t="s">
        <v>98</v>
      </c>
      <c r="B4" s="6" t="s">
        <v>160</v>
      </c>
      <c r="C4" s="6"/>
      <c r="D4" s="6"/>
      <c r="E4" s="6"/>
      <c r="F4" s="6"/>
      <c r="G4" s="6"/>
      <c r="H4" s="6"/>
      <c r="I4" s="6"/>
      <c r="J4" s="6"/>
      <c r="K4" s="1"/>
    </row>
    <row r="5" spans="1:1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15.75" thickBot="1" x14ac:dyDescent="0.3">
      <c r="A6" s="1"/>
      <c r="B6" s="1"/>
      <c r="C6" s="1"/>
      <c r="D6" s="1"/>
      <c r="E6" s="1"/>
      <c r="F6" s="1"/>
      <c r="G6" s="1"/>
      <c r="H6" s="34" t="s">
        <v>249</v>
      </c>
      <c r="I6" s="35"/>
      <c r="J6" s="35"/>
      <c r="K6" s="36"/>
    </row>
    <row r="7" spans="1:11" ht="15.75" thickTop="1" x14ac:dyDescent="0.25">
      <c r="A7" s="3" t="s">
        <v>126</v>
      </c>
      <c r="B7" s="3" t="s">
        <v>161</v>
      </c>
      <c r="C7" s="3" t="s">
        <v>162</v>
      </c>
      <c r="D7" s="3" t="s">
        <v>163</v>
      </c>
      <c r="E7" s="3" t="s">
        <v>164</v>
      </c>
      <c r="F7" s="3" t="s">
        <v>104</v>
      </c>
      <c r="G7" s="3"/>
      <c r="H7" s="3" t="s">
        <v>105</v>
      </c>
      <c r="I7" s="3" t="s">
        <v>106</v>
      </c>
      <c r="J7" s="3" t="s">
        <v>107</v>
      </c>
    </row>
    <row r="8" spans="1:11" x14ac:dyDescent="0.25">
      <c r="A8" s="1" t="s">
        <v>132</v>
      </c>
      <c r="B8" s="1">
        <v>0</v>
      </c>
      <c r="C8" s="1">
        <v>850</v>
      </c>
      <c r="D8" s="1" t="s">
        <v>165</v>
      </c>
      <c r="E8" s="1" t="s">
        <v>166</v>
      </c>
      <c r="F8" s="1" t="s">
        <v>167</v>
      </c>
      <c r="G8" s="1"/>
      <c r="H8" s="4" t="s">
        <v>105</v>
      </c>
      <c r="I8" s="4" t="s">
        <v>106</v>
      </c>
      <c r="J8" s="4" t="s">
        <v>107</v>
      </c>
    </row>
    <row r="9" spans="1:11" x14ac:dyDescent="0.25">
      <c r="A9" s="1" t="s">
        <v>135</v>
      </c>
      <c r="B9" s="1">
        <v>0</v>
      </c>
      <c r="C9" s="1">
        <v>910</v>
      </c>
      <c r="D9" s="1" t="s">
        <v>165</v>
      </c>
      <c r="E9" s="1" t="s">
        <v>166</v>
      </c>
      <c r="F9" s="1" t="s">
        <v>167</v>
      </c>
      <c r="G9" s="1"/>
      <c r="H9" s="1" t="s">
        <v>168</v>
      </c>
      <c r="I9" s="1">
        <f>CORREL(B8:B19,C8:C19)</f>
        <v>0.87203791881887982</v>
      </c>
      <c r="J9" s="1" t="s">
        <v>169</v>
      </c>
    </row>
    <row r="10" spans="1:11" x14ac:dyDescent="0.25">
      <c r="A10" s="1" t="s">
        <v>138</v>
      </c>
      <c r="B10" s="1">
        <v>0</v>
      </c>
      <c r="C10" s="1">
        <v>1020</v>
      </c>
      <c r="D10" s="1" t="s">
        <v>165</v>
      </c>
      <c r="E10" s="1" t="s">
        <v>57</v>
      </c>
      <c r="F10" s="1" t="s">
        <v>167</v>
      </c>
      <c r="G10" s="1"/>
      <c r="H10" s="1" t="s">
        <v>170</v>
      </c>
      <c r="I10" s="1">
        <f>AVERAGEIF(B8:B19,0,C8:C19)</f>
        <v>1018.3333333333334</v>
      </c>
      <c r="J10" s="1" t="s">
        <v>171</v>
      </c>
    </row>
    <row r="11" spans="1:11" x14ac:dyDescent="0.25">
      <c r="A11" s="1" t="s">
        <v>141</v>
      </c>
      <c r="B11" s="1">
        <v>0</v>
      </c>
      <c r="C11" s="1">
        <v>980</v>
      </c>
      <c r="D11" s="1" t="s">
        <v>165</v>
      </c>
      <c r="E11" s="1" t="s">
        <v>166</v>
      </c>
      <c r="F11" s="1" t="s">
        <v>167</v>
      </c>
      <c r="G11" s="1"/>
      <c r="H11" s="1" t="s">
        <v>172</v>
      </c>
      <c r="I11" s="1">
        <f>AVERAGEIF(B8:B19,1,C8:C19)</f>
        <v>3291.6666666666665</v>
      </c>
      <c r="J11" s="1" t="s">
        <v>171</v>
      </c>
    </row>
    <row r="12" spans="1:11" x14ac:dyDescent="0.25">
      <c r="A12" s="1" t="s">
        <v>145</v>
      </c>
      <c r="B12" s="1">
        <v>0</v>
      </c>
      <c r="C12" s="1">
        <v>1150</v>
      </c>
      <c r="D12" s="1" t="s">
        <v>165</v>
      </c>
      <c r="E12" s="1" t="s">
        <v>57</v>
      </c>
      <c r="F12" s="1" t="s">
        <v>167</v>
      </c>
      <c r="G12" s="1"/>
      <c r="H12" s="1" t="s">
        <v>173</v>
      </c>
      <c r="I12" s="1">
        <f>I11-I10</f>
        <v>2273.333333333333</v>
      </c>
      <c r="J12" s="1" t="s">
        <v>174</v>
      </c>
    </row>
    <row r="13" spans="1:11" x14ac:dyDescent="0.25">
      <c r="A13" s="1" t="s">
        <v>146</v>
      </c>
      <c r="B13" s="1">
        <v>0</v>
      </c>
      <c r="C13" s="1">
        <v>1200</v>
      </c>
      <c r="D13" s="1" t="s">
        <v>165</v>
      </c>
      <c r="E13" s="1" t="s">
        <v>57</v>
      </c>
      <c r="F13" s="1" t="s">
        <v>167</v>
      </c>
      <c r="G13" s="1"/>
      <c r="H13" s="41"/>
      <c r="I13" s="41"/>
      <c r="J13" s="41"/>
      <c r="K13" s="41"/>
    </row>
    <row r="14" spans="1:11" ht="15.75" x14ac:dyDescent="0.25">
      <c r="A14" s="1" t="s">
        <v>148</v>
      </c>
      <c r="B14" s="1">
        <v>1</v>
      </c>
      <c r="C14" s="1">
        <v>2100</v>
      </c>
      <c r="D14" s="1" t="s">
        <v>175</v>
      </c>
      <c r="E14" s="1" t="s">
        <v>57</v>
      </c>
      <c r="F14" s="1" t="s">
        <v>176</v>
      </c>
      <c r="G14" s="40"/>
      <c r="H14" s="46" t="s">
        <v>250</v>
      </c>
      <c r="I14" s="33"/>
      <c r="J14" s="33"/>
      <c r="K14" s="47"/>
    </row>
    <row r="15" spans="1:11" ht="30" x14ac:dyDescent="0.25">
      <c r="A15" s="1" t="s">
        <v>149</v>
      </c>
      <c r="B15" s="1">
        <v>1</v>
      </c>
      <c r="C15" s="1">
        <v>2400</v>
      </c>
      <c r="D15" s="1" t="s">
        <v>175</v>
      </c>
      <c r="E15" s="1" t="s">
        <v>57</v>
      </c>
      <c r="F15" s="1" t="s">
        <v>176</v>
      </c>
      <c r="G15" s="40"/>
      <c r="H15" s="20" t="s">
        <v>96</v>
      </c>
      <c r="I15" s="14" t="s">
        <v>275</v>
      </c>
      <c r="J15" s="14" t="s">
        <v>276</v>
      </c>
      <c r="K15" s="15"/>
    </row>
    <row r="16" spans="1:11" ht="45" x14ac:dyDescent="0.25">
      <c r="A16" s="1" t="s">
        <v>150</v>
      </c>
      <c r="B16" s="1">
        <v>1</v>
      </c>
      <c r="C16" s="1">
        <v>3100</v>
      </c>
      <c r="D16" s="1" t="s">
        <v>175</v>
      </c>
      <c r="E16" s="1" t="s">
        <v>177</v>
      </c>
      <c r="F16" s="1" t="s">
        <v>176</v>
      </c>
      <c r="G16" s="40"/>
      <c r="H16" s="20" t="s">
        <v>214</v>
      </c>
      <c r="I16" s="14" t="s">
        <v>277</v>
      </c>
      <c r="J16" s="14" t="s">
        <v>278</v>
      </c>
      <c r="K16" s="15"/>
    </row>
    <row r="17" spans="1:11" ht="30" x14ac:dyDescent="0.25">
      <c r="A17" s="1" t="s">
        <v>152</v>
      </c>
      <c r="B17" s="1">
        <v>1</v>
      </c>
      <c r="C17" s="1">
        <v>3350</v>
      </c>
      <c r="D17" s="1" t="s">
        <v>175</v>
      </c>
      <c r="E17" s="1" t="s">
        <v>177</v>
      </c>
      <c r="F17" s="1" t="s">
        <v>176</v>
      </c>
      <c r="G17" s="40"/>
      <c r="H17" s="20" t="s">
        <v>216</v>
      </c>
      <c r="I17" s="14" t="s">
        <v>279</v>
      </c>
      <c r="J17" s="14" t="s">
        <v>280</v>
      </c>
      <c r="K17" s="15"/>
    </row>
    <row r="18" spans="1:11" ht="30" x14ac:dyDescent="0.25">
      <c r="A18" s="1" t="s">
        <v>153</v>
      </c>
      <c r="B18" s="1">
        <v>1</v>
      </c>
      <c r="C18" s="1">
        <v>4200</v>
      </c>
      <c r="D18" s="1" t="s">
        <v>133</v>
      </c>
      <c r="E18" s="1" t="s">
        <v>177</v>
      </c>
      <c r="F18" s="1" t="s">
        <v>176</v>
      </c>
      <c r="G18" s="40"/>
      <c r="H18" s="19" t="s">
        <v>258</v>
      </c>
      <c r="I18" s="14" t="s">
        <v>281</v>
      </c>
      <c r="J18" s="14" t="s">
        <v>282</v>
      </c>
      <c r="K18" s="15"/>
    </row>
    <row r="19" spans="1:11" ht="30" x14ac:dyDescent="0.25">
      <c r="A19" s="1" t="s">
        <v>154</v>
      </c>
      <c r="B19" s="1">
        <v>1</v>
      </c>
      <c r="C19" s="1">
        <v>4600</v>
      </c>
      <c r="D19" s="1" t="s">
        <v>133</v>
      </c>
      <c r="E19" s="1" t="s">
        <v>177</v>
      </c>
      <c r="F19" s="1" t="s">
        <v>176</v>
      </c>
      <c r="G19" s="40"/>
      <c r="H19" s="19" t="s">
        <v>261</v>
      </c>
      <c r="I19" s="14" t="s">
        <v>283</v>
      </c>
      <c r="J19" s="14" t="s">
        <v>284</v>
      </c>
      <c r="K19" s="15"/>
    </row>
    <row r="20" spans="1:11" x14ac:dyDescent="0.25">
      <c r="H20" s="48" t="s">
        <v>285</v>
      </c>
      <c r="I20" s="51">
        <f>COUNTIF(B8:B19,0)</f>
        <v>6</v>
      </c>
      <c r="J20" s="37" t="s">
        <v>286</v>
      </c>
      <c r="K20" s="44">
        <f>COUNTIF(B8:B19,0)</f>
        <v>6</v>
      </c>
    </row>
    <row r="21" spans="1:11" x14ac:dyDescent="0.25">
      <c r="H21" s="48" t="s">
        <v>287</v>
      </c>
      <c r="I21" s="51">
        <f>COUNTIF(B8:B19,1)</f>
        <v>6</v>
      </c>
      <c r="J21" s="37" t="s">
        <v>288</v>
      </c>
      <c r="K21" s="44">
        <f>COUNTIF(B8:B19,1)</f>
        <v>6</v>
      </c>
    </row>
    <row r="22" spans="1:11" ht="30" x14ac:dyDescent="0.25">
      <c r="H22" s="48" t="s">
        <v>289</v>
      </c>
      <c r="I22" s="52">
        <f>AVERAGEIF(B8:B19,0,C8:C19)</f>
        <v>1018.3333333333334</v>
      </c>
      <c r="J22" s="37" t="s">
        <v>290</v>
      </c>
      <c r="K22" s="44">
        <f>AVERAGEIF(B8:B19,0,C8:C19)</f>
        <v>1018.3333333333334</v>
      </c>
    </row>
    <row r="23" spans="1:11" x14ac:dyDescent="0.25">
      <c r="H23" s="48" t="s">
        <v>172</v>
      </c>
      <c r="I23" s="52">
        <f>AVERAGEIF(B8:B19,1,C8:C19)</f>
        <v>3291.6666666666665</v>
      </c>
      <c r="J23" s="37" t="s">
        <v>291</v>
      </c>
      <c r="K23" s="44">
        <f>AVERAGEIF(B8:B19,1,C8:C19)</f>
        <v>3291.6666666666665</v>
      </c>
    </row>
    <row r="24" spans="1:11" ht="30" x14ac:dyDescent="0.25">
      <c r="H24" s="48" t="s">
        <v>292</v>
      </c>
      <c r="I24" s="52">
        <f>MEDIAN(C14:C19)-MEDIAN(C8:C13)</f>
        <v>2225</v>
      </c>
      <c r="J24" s="37" t="s">
        <v>293</v>
      </c>
      <c r="K24" s="44">
        <f>MEDIAN(C14:C19)-MEDIAN(C8:C13)</f>
        <v>2225</v>
      </c>
    </row>
    <row r="25" spans="1:11" x14ac:dyDescent="0.25">
      <c r="H25" s="48" t="s">
        <v>294</v>
      </c>
      <c r="I25" s="52">
        <f>I23-I22</f>
        <v>2273.333333333333</v>
      </c>
      <c r="J25" s="37" t="s">
        <v>295</v>
      </c>
      <c r="K25" s="44">
        <f>I23-I22</f>
        <v>2273.333333333333</v>
      </c>
    </row>
    <row r="26" spans="1:11" ht="30" x14ac:dyDescent="0.25">
      <c r="H26" s="48" t="s">
        <v>296</v>
      </c>
      <c r="I26" s="53">
        <f>CORREL(B8:B19,C8:C19)</f>
        <v>0.87203791881887982</v>
      </c>
      <c r="J26" s="37" t="s">
        <v>297</v>
      </c>
      <c r="K26" s="44">
        <f>CORREL(B8:B19,C8:C19)</f>
        <v>0.87203791881887982</v>
      </c>
    </row>
    <row r="27" spans="1:11" ht="30" x14ac:dyDescent="0.25">
      <c r="H27" s="48" t="s">
        <v>298</v>
      </c>
      <c r="I27" s="50">
        <f>_xlfn.T.TEST(C14:C19,C8:C13,1,3)</f>
        <v>1.0810115967288987E-3</v>
      </c>
      <c r="J27" s="37" t="s">
        <v>299</v>
      </c>
      <c r="K27" s="44">
        <f>_xlfn.T.TEST(C14:C19,C8:C13,1,3)</f>
        <v>1.0810115967288987E-3</v>
      </c>
    </row>
    <row r="28" spans="1:11" ht="30" x14ac:dyDescent="0.25">
      <c r="H28" s="48" t="s">
        <v>265</v>
      </c>
      <c r="I28" s="54">
        <f>(I23-I22)/SQRT(((I21-1)*_xlfn.STDEV.S(C14:C19)^2+(I20-1)*_xlfn.STDEV.S(C8:C13)^2)/(I21+I20-2))</f>
        <v>3.2529454040055743</v>
      </c>
      <c r="J28" s="37" t="s">
        <v>300</v>
      </c>
      <c r="K28" s="44">
        <f>(I23-I22)/SQRT(((I21-1)*_xlfn.STDEV.S(C14:C19)^2+(I20-1)*_xlfn.STDEV.S(C8:C13)^2)/(I21+I20-2))</f>
        <v>3.2529454040055743</v>
      </c>
    </row>
    <row r="29" spans="1:11" x14ac:dyDescent="0.25">
      <c r="H29" s="48" t="s">
        <v>220</v>
      </c>
      <c r="I29" s="39" t="str">
        <f>IF(I27&lt;0.05,"Reject H0","Fail to reject H0")</f>
        <v>Reject H0</v>
      </c>
      <c r="J29" s="39" t="str">
        <f>IF(I27&lt;0.05,"Evidence supports that premium-support customers have higher monthly revenue.","Insufficient evidence that premium-support customers have higher monthly revenue.")</f>
        <v>Evidence supports that premium-support customers have higher monthly revenue.</v>
      </c>
      <c r="K29" s="44"/>
    </row>
    <row r="30" spans="1:11" ht="30" x14ac:dyDescent="0.25">
      <c r="H30" s="48" t="s">
        <v>74</v>
      </c>
      <c r="I30" s="39" t="s">
        <v>301</v>
      </c>
      <c r="J30" s="38" t="s">
        <v>302</v>
      </c>
      <c r="K30" s="44"/>
    </row>
    <row r="31" spans="1:11" ht="30" x14ac:dyDescent="0.25">
      <c r="H31" s="49" t="s">
        <v>224</v>
      </c>
      <c r="I31" s="42" t="s">
        <v>303</v>
      </c>
      <c r="J31" s="43" t="s">
        <v>304</v>
      </c>
      <c r="K31" s="45"/>
    </row>
  </sheetData>
  <mergeCells count="5">
    <mergeCell ref="A1:J1"/>
    <mergeCell ref="B3:J3"/>
    <mergeCell ref="B4:J4"/>
    <mergeCell ref="H14:K14"/>
    <mergeCell ref="H6:K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7"/>
  <sheetViews>
    <sheetView showGridLines="0" workbookViewId="0">
      <pane ySplit="6" topLeftCell="A7" activePane="bottomLeft" state="frozen"/>
      <selection pane="bottomLeft" activeCell="G12" sqref="G12:J12"/>
    </sheetView>
  </sheetViews>
  <sheetFormatPr defaultRowHeight="15" x14ac:dyDescent="0.25"/>
  <cols>
    <col min="1" max="1" width="18" customWidth="1"/>
    <col min="2" max="5" width="14" customWidth="1"/>
    <col min="6" max="6" width="4" customWidth="1"/>
    <col min="7" max="7" width="23.7109375" bestFit="1" customWidth="1"/>
    <col min="8" max="8" width="46.42578125" bestFit="1" customWidth="1"/>
    <col min="9" max="9" width="76.28515625" bestFit="1" customWidth="1"/>
    <col min="10" max="10" width="12" bestFit="1" customWidth="1"/>
  </cols>
  <sheetData>
    <row r="1" spans="1:10" x14ac:dyDescent="0.25">
      <c r="A1" s="5" t="s">
        <v>178</v>
      </c>
      <c r="B1" s="6"/>
      <c r="C1" s="6"/>
      <c r="D1" s="6"/>
      <c r="E1" s="6"/>
      <c r="F1" s="6"/>
      <c r="G1" s="6"/>
      <c r="H1" s="6"/>
      <c r="I1" s="6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 t="s">
        <v>96</v>
      </c>
      <c r="B3" s="6" t="s">
        <v>179</v>
      </c>
      <c r="C3" s="6"/>
      <c r="D3" s="6"/>
      <c r="E3" s="6"/>
      <c r="F3" s="6"/>
      <c r="G3" s="6"/>
      <c r="H3" s="6"/>
      <c r="I3" s="6"/>
      <c r="J3" s="1"/>
    </row>
    <row r="4" spans="1:10" x14ac:dyDescent="0.25">
      <c r="A4" s="2" t="s">
        <v>98</v>
      </c>
      <c r="B4" s="6" t="s">
        <v>180</v>
      </c>
      <c r="C4" s="6"/>
      <c r="D4" s="6"/>
      <c r="E4" s="6"/>
      <c r="F4" s="6"/>
      <c r="G4" s="6"/>
      <c r="H4" s="6"/>
      <c r="I4" s="6"/>
      <c r="J4" s="1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5.75" thickBot="1" x14ac:dyDescent="0.3">
      <c r="A6" s="1"/>
      <c r="B6" s="1"/>
      <c r="C6" s="1"/>
      <c r="D6" s="1"/>
      <c r="E6" s="1"/>
      <c r="F6" s="1"/>
      <c r="G6" s="34" t="s">
        <v>249</v>
      </c>
      <c r="H6" s="35"/>
      <c r="I6" s="35"/>
      <c r="J6" s="36"/>
    </row>
    <row r="7" spans="1:10" ht="15.75" thickTop="1" x14ac:dyDescent="0.25">
      <c r="A7" s="3" t="s">
        <v>305</v>
      </c>
      <c r="B7" s="3" t="s">
        <v>181</v>
      </c>
      <c r="C7" s="3" t="s">
        <v>182</v>
      </c>
      <c r="D7" s="3" t="s">
        <v>183</v>
      </c>
      <c r="E7" s="3" t="s">
        <v>184</v>
      </c>
      <c r="F7" s="3"/>
      <c r="G7" s="3" t="s">
        <v>105</v>
      </c>
      <c r="H7" s="3" t="s">
        <v>106</v>
      </c>
      <c r="I7" s="3" t="s">
        <v>107</v>
      </c>
      <c r="J7" s="1"/>
    </row>
    <row r="8" spans="1:10" x14ac:dyDescent="0.25">
      <c r="A8" s="1" t="s">
        <v>185</v>
      </c>
      <c r="B8" s="1">
        <v>18</v>
      </c>
      <c r="C8" s="1">
        <v>42</v>
      </c>
      <c r="D8" s="1">
        <v>10</v>
      </c>
      <c r="E8" s="1">
        <f>SUM(B8:D8)</f>
        <v>70</v>
      </c>
      <c r="F8" s="1"/>
      <c r="G8" s="4" t="s">
        <v>105</v>
      </c>
      <c r="H8" s="4" t="s">
        <v>106</v>
      </c>
      <c r="I8" s="4" t="s">
        <v>107</v>
      </c>
      <c r="J8" s="4" t="s">
        <v>111</v>
      </c>
    </row>
    <row r="9" spans="1:10" x14ac:dyDescent="0.25">
      <c r="A9" s="1" t="s">
        <v>186</v>
      </c>
      <c r="B9" s="1">
        <v>35</v>
      </c>
      <c r="C9" s="1">
        <v>20</v>
      </c>
      <c r="D9" s="1">
        <v>15</v>
      </c>
      <c r="E9" s="1">
        <f>SUM(B9:D9)</f>
        <v>70</v>
      </c>
      <c r="F9" s="1"/>
      <c r="G9" s="1" t="s">
        <v>187</v>
      </c>
      <c r="H9" s="1">
        <f>CHITEST(B8:D10,B15:D17)</f>
        <v>2.4917141407872268E-6</v>
      </c>
      <c r="I9" s="1" t="s">
        <v>188</v>
      </c>
      <c r="J9" s="1">
        <f>CHITEST(B8:D10,B15:D17)</f>
        <v>2.4917141407872268E-6</v>
      </c>
    </row>
    <row r="10" spans="1:10" x14ac:dyDescent="0.25">
      <c r="A10" s="1" t="s">
        <v>189</v>
      </c>
      <c r="B10" s="1">
        <v>22</v>
      </c>
      <c r="C10" s="1">
        <v>18</v>
      </c>
      <c r="D10" s="1">
        <v>30</v>
      </c>
      <c r="E10" s="1">
        <f>SUM(B10:D10)</f>
        <v>70</v>
      </c>
      <c r="F10" s="1"/>
      <c r="G10" s="1" t="s">
        <v>190</v>
      </c>
      <c r="H10" s="1" t="str">
        <f>IF(MIN(B15:D17)&gt;=5,"Yes","No")</f>
        <v>Yes</v>
      </c>
      <c r="I10" s="1" t="s">
        <v>191</v>
      </c>
      <c r="J10" s="1" t="b">
        <f>MIN(B15:D17)&gt;=5</f>
        <v>1</v>
      </c>
    </row>
    <row r="11" spans="1:10" x14ac:dyDescent="0.25">
      <c r="A11" s="1" t="s">
        <v>192</v>
      </c>
      <c r="B11" s="1">
        <f>SUM(B8:B10)</f>
        <v>75</v>
      </c>
      <c r="C11" s="1">
        <f>SUM(C8:C10)</f>
        <v>80</v>
      </c>
      <c r="D11" s="1">
        <f>SUM(D8:D10)</f>
        <v>55</v>
      </c>
      <c r="E11" s="1">
        <f>SUM(E8:E10)</f>
        <v>210</v>
      </c>
      <c r="F11" s="1"/>
      <c r="G11" s="41"/>
      <c r="H11" s="41"/>
      <c r="I11" s="41"/>
      <c r="J11" s="41"/>
    </row>
    <row r="12" spans="1:10" ht="15.75" x14ac:dyDescent="0.25">
      <c r="A12" s="1"/>
      <c r="B12" s="1"/>
      <c r="C12" s="1"/>
      <c r="D12" s="1"/>
      <c r="E12" s="1"/>
      <c r="F12" s="40"/>
      <c r="G12" s="46" t="s">
        <v>250</v>
      </c>
      <c r="H12" s="33"/>
      <c r="I12" s="33"/>
      <c r="J12" s="47"/>
    </row>
    <row r="13" spans="1:10" ht="30" x14ac:dyDescent="0.25">
      <c r="A13" s="1"/>
      <c r="B13" s="1"/>
      <c r="C13" s="1"/>
      <c r="D13" s="1"/>
      <c r="E13" s="1"/>
      <c r="F13" s="40"/>
      <c r="G13" s="20" t="s">
        <v>96</v>
      </c>
      <c r="H13" s="14" t="s">
        <v>179</v>
      </c>
      <c r="I13" s="14" t="s">
        <v>306</v>
      </c>
      <c r="J13" s="15"/>
    </row>
    <row r="14" spans="1:10" x14ac:dyDescent="0.25">
      <c r="A14" s="3" t="s">
        <v>193</v>
      </c>
      <c r="B14" s="3" t="s">
        <v>181</v>
      </c>
      <c r="C14" s="3" t="s">
        <v>182</v>
      </c>
      <c r="D14" s="3" t="s">
        <v>183</v>
      </c>
      <c r="E14" s="3" t="s">
        <v>184</v>
      </c>
      <c r="F14" s="40"/>
      <c r="G14" s="20" t="s">
        <v>214</v>
      </c>
      <c r="H14" s="14" t="s">
        <v>307</v>
      </c>
      <c r="I14" s="14" t="s">
        <v>308</v>
      </c>
      <c r="J14" s="15"/>
    </row>
    <row r="15" spans="1:10" ht="30" x14ac:dyDescent="0.25">
      <c r="A15" s="1" t="s">
        <v>185</v>
      </c>
      <c r="B15" s="1">
        <f>$B$11*$E8/$E$11</f>
        <v>25</v>
      </c>
      <c r="C15" s="1">
        <f>$C$11*$E8/$E$11</f>
        <v>26.666666666666668</v>
      </c>
      <c r="D15" s="1">
        <f>$D$11*$E8/$E$11</f>
        <v>18.333333333333332</v>
      </c>
      <c r="E15" s="1">
        <f>SUM(B15:D15)</f>
        <v>70</v>
      </c>
      <c r="F15" s="40"/>
      <c r="G15" s="20" t="s">
        <v>216</v>
      </c>
      <c r="H15" s="14" t="s">
        <v>86</v>
      </c>
      <c r="I15" s="14" t="s">
        <v>309</v>
      </c>
      <c r="J15" s="15"/>
    </row>
    <row r="16" spans="1:10" x14ac:dyDescent="0.25">
      <c r="A16" s="1" t="s">
        <v>186</v>
      </c>
      <c r="B16" s="1">
        <f>$B$11*$E9/$E$11</f>
        <v>25</v>
      </c>
      <c r="C16" s="1">
        <f>$C$11*$E9/$E$11</f>
        <v>26.666666666666668</v>
      </c>
      <c r="D16" s="1">
        <f>$D$11*$E9/$E$11</f>
        <v>18.333333333333332</v>
      </c>
      <c r="E16" s="1">
        <f>SUM(B16:D16)</f>
        <v>70</v>
      </c>
      <c r="F16" s="40"/>
      <c r="G16" s="19" t="s">
        <v>258</v>
      </c>
      <c r="H16" s="14" t="s">
        <v>310</v>
      </c>
      <c r="I16" s="14" t="s">
        <v>311</v>
      </c>
      <c r="J16" s="15"/>
    </row>
    <row r="17" spans="1:10" x14ac:dyDescent="0.25">
      <c r="A17" s="1" t="s">
        <v>189</v>
      </c>
      <c r="B17" s="1">
        <f>$B$11*$E10/$E$11</f>
        <v>25</v>
      </c>
      <c r="C17" s="1">
        <f>$C$11*$E10/$E$11</f>
        <v>26.666666666666668</v>
      </c>
      <c r="D17" s="1">
        <f>$D$11*$E10/$E$11</f>
        <v>18.333333333333332</v>
      </c>
      <c r="E17" s="1">
        <f>SUM(B17:D17)</f>
        <v>70</v>
      </c>
      <c r="F17" s="40"/>
      <c r="G17" s="19" t="s">
        <v>261</v>
      </c>
      <c r="H17" s="14" t="s">
        <v>312</v>
      </c>
      <c r="I17" s="14" t="s">
        <v>313</v>
      </c>
      <c r="J17" s="15"/>
    </row>
    <row r="18" spans="1:10" x14ac:dyDescent="0.25">
      <c r="G18" s="48" t="s">
        <v>314</v>
      </c>
      <c r="H18" s="51">
        <f>E11</f>
        <v>210</v>
      </c>
      <c r="I18" s="37" t="s">
        <v>315</v>
      </c>
      <c r="J18" s="44">
        <f>E11</f>
        <v>210</v>
      </c>
    </row>
    <row r="19" spans="1:10" x14ac:dyDescent="0.25">
      <c r="G19" s="48" t="s">
        <v>191</v>
      </c>
      <c r="H19" s="39" t="str">
        <f>IF(MIN(B15:D17)&gt;=5,"Pass","Review")</f>
        <v>Pass</v>
      </c>
      <c r="I19" s="39" t="str">
        <f>IF(MIN(B15:D17)&gt;=5,"All expected counts are at least 5, so the chi-squared approximation is appropriate.","Some expected counts are below 5; merge categories or use an exact test.")</f>
        <v>All expected counts are at least 5, so the chi-squared approximation is appropriate.</v>
      </c>
      <c r="J19" s="44" t="b">
        <f>MIN(B15:D17)&gt;=5</f>
        <v>1</v>
      </c>
    </row>
    <row r="20" spans="1:10" x14ac:dyDescent="0.25">
      <c r="G20" s="48" t="s">
        <v>316</v>
      </c>
      <c r="H20" s="54">
        <f>SUMPRODUCT((B8:D10-B15:D17)^2/B15:D17)</f>
        <v>31.438181818181818</v>
      </c>
      <c r="I20" s="38" t="s">
        <v>317</v>
      </c>
      <c r="J20" s="44">
        <f>SUMPRODUCT((B8:D10-B15:D17)^2/B15:D17)</f>
        <v>31.438181818181818</v>
      </c>
    </row>
    <row r="21" spans="1:10" x14ac:dyDescent="0.25">
      <c r="G21" s="48" t="s">
        <v>318</v>
      </c>
      <c r="H21" s="51">
        <f>(ROWS(B8:D10)-1)*(COLUMNS(B8:D10)-1)</f>
        <v>4</v>
      </c>
      <c r="I21" s="38" t="s">
        <v>319</v>
      </c>
      <c r="J21" s="44">
        <f>(ROWS(B8:D10)-1)*(COLUMNS(B8:D10)-1)</f>
        <v>4</v>
      </c>
    </row>
    <row r="22" spans="1:10" ht="30" x14ac:dyDescent="0.25">
      <c r="G22" s="48" t="s">
        <v>219</v>
      </c>
      <c r="H22" s="50">
        <f>CHITEST(B8:D10,B15:D17)</f>
        <v>2.4917141407872268E-6</v>
      </c>
      <c r="I22" s="38" t="s">
        <v>320</v>
      </c>
      <c r="J22" s="44">
        <f>CHITEST(B8:D10,B15:D17)</f>
        <v>2.4917141407872268E-6</v>
      </c>
    </row>
    <row r="23" spans="1:10" x14ac:dyDescent="0.25">
      <c r="G23" s="48" t="s">
        <v>265</v>
      </c>
      <c r="H23" s="53">
        <f>SQRT(H20/(E11*MIN(ROWS(B8:D10)-1,COLUMNS(B8:D10)-1)))</f>
        <v>0.27359242287171232</v>
      </c>
      <c r="I23" s="38" t="s">
        <v>321</v>
      </c>
      <c r="J23" s="44">
        <f>SQRT(H20/(E11*MIN(ROWS(B8:D10)-1,COLUMNS(B8:D10)-1)))</f>
        <v>0.27359242287171232</v>
      </c>
    </row>
    <row r="24" spans="1:10" x14ac:dyDescent="0.25">
      <c r="G24" s="48" t="s">
        <v>220</v>
      </c>
      <c r="H24" s="39" t="str">
        <f>IF(H22&lt;0.05,"Reject H0","Fail to reject H0")</f>
        <v>Reject H0</v>
      </c>
      <c r="I24" s="39" t="str">
        <f>IF(H22&lt;0.05,"Evidence supports that complaint type is associated with product category.","Insufficient evidence that complaint type is associated with product category.")</f>
        <v>Evidence supports that complaint type is associated with product category.</v>
      </c>
      <c r="J24" s="44"/>
    </row>
    <row r="25" spans="1:10" ht="45" x14ac:dyDescent="0.25">
      <c r="G25" s="48" t="s">
        <v>74</v>
      </c>
      <c r="H25" s="39" t="s">
        <v>322</v>
      </c>
      <c r="I25" s="38" t="s">
        <v>323</v>
      </c>
      <c r="J25" s="44"/>
    </row>
    <row r="26" spans="1:10" ht="30" x14ac:dyDescent="0.25">
      <c r="G26" s="48" t="s">
        <v>222</v>
      </c>
      <c r="H26" s="39" t="s">
        <v>271</v>
      </c>
      <c r="I26" s="38" t="s">
        <v>324</v>
      </c>
      <c r="J26" s="44"/>
    </row>
    <row r="27" spans="1:10" ht="30" x14ac:dyDescent="0.25">
      <c r="G27" s="49" t="s">
        <v>224</v>
      </c>
      <c r="H27" s="42" t="s">
        <v>325</v>
      </c>
      <c r="I27" s="43" t="s">
        <v>326</v>
      </c>
      <c r="J27" s="45"/>
    </row>
  </sheetData>
  <mergeCells count="5">
    <mergeCell ref="A1:I1"/>
    <mergeCell ref="B3:I3"/>
    <mergeCell ref="B4:I4"/>
    <mergeCell ref="G6:J6"/>
    <mergeCell ref="G12:J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4"/>
  <sheetViews>
    <sheetView showGridLines="0" tabSelected="1" topLeftCell="D1" workbookViewId="0">
      <pane ySplit="6" topLeftCell="A7" activePane="bottomLeft" state="frozen"/>
      <selection pane="bottomLeft" activeCell="J34" sqref="J34"/>
    </sheetView>
  </sheetViews>
  <sheetFormatPr defaultRowHeight="15" x14ac:dyDescent="0.25"/>
  <cols>
    <col min="1" max="1" width="12" customWidth="1"/>
    <col min="2" max="2" width="18" customWidth="1"/>
    <col min="3" max="3" width="22" customWidth="1"/>
    <col min="4" max="5" width="14" customWidth="1"/>
    <col min="6" max="6" width="22" customWidth="1"/>
    <col min="7" max="7" width="4" customWidth="1"/>
    <col min="8" max="8" width="24.85546875" bestFit="1" customWidth="1"/>
    <col min="9" max="9" width="75.85546875" bestFit="1" customWidth="1"/>
    <col min="10" max="10" width="41.7109375" bestFit="1" customWidth="1"/>
    <col min="11" max="11" width="12" bestFit="1" customWidth="1"/>
  </cols>
  <sheetData>
    <row r="1" spans="1:11" x14ac:dyDescent="0.25">
      <c r="A1" s="5" t="s">
        <v>194</v>
      </c>
      <c r="B1" s="6"/>
      <c r="C1" s="6"/>
      <c r="D1" s="6"/>
      <c r="E1" s="6"/>
      <c r="F1" s="6"/>
      <c r="G1" s="6"/>
      <c r="H1" s="6"/>
      <c r="I1" s="6"/>
      <c r="J1" s="6"/>
      <c r="K1" s="1"/>
    </row>
    <row r="2" spans="1:1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30" x14ac:dyDescent="0.25">
      <c r="A3" s="2" t="s">
        <v>96</v>
      </c>
      <c r="B3" s="6" t="s">
        <v>195</v>
      </c>
      <c r="C3" s="6"/>
      <c r="D3" s="6"/>
      <c r="E3" s="6"/>
      <c r="F3" s="6"/>
      <c r="G3" s="6"/>
      <c r="H3" s="6"/>
      <c r="I3" s="6"/>
      <c r="J3" s="6"/>
      <c r="K3" s="1"/>
    </row>
    <row r="4" spans="1:11" x14ac:dyDescent="0.25">
      <c r="A4" s="2" t="s">
        <v>98</v>
      </c>
      <c r="B4" s="6" t="s">
        <v>196</v>
      </c>
      <c r="C4" s="6"/>
      <c r="D4" s="6"/>
      <c r="E4" s="6"/>
      <c r="F4" s="6"/>
      <c r="G4" s="6"/>
      <c r="H4" s="6"/>
      <c r="I4" s="6"/>
      <c r="J4" s="6"/>
      <c r="K4" s="1"/>
    </row>
    <row r="5" spans="1:1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15.75" thickBot="1" x14ac:dyDescent="0.3">
      <c r="A6" s="1"/>
      <c r="B6" s="1"/>
      <c r="C6" s="1"/>
      <c r="D6" s="1"/>
      <c r="E6" s="1"/>
      <c r="F6" s="1"/>
      <c r="G6" s="1"/>
      <c r="H6" s="34" t="s">
        <v>249</v>
      </c>
      <c r="I6" s="35"/>
      <c r="J6" s="35"/>
      <c r="K6" s="36"/>
    </row>
    <row r="7" spans="1:11" ht="15.75" thickTop="1" x14ac:dyDescent="0.25">
      <c r="A7" s="3" t="s">
        <v>99</v>
      </c>
      <c r="B7" s="3" t="s">
        <v>197</v>
      </c>
      <c r="C7" s="3" t="s">
        <v>101</v>
      </c>
      <c r="D7" s="3" t="s">
        <v>198</v>
      </c>
      <c r="E7" s="3" t="s">
        <v>199</v>
      </c>
      <c r="F7" s="3" t="s">
        <v>104</v>
      </c>
      <c r="G7" s="3"/>
      <c r="H7" s="3" t="s">
        <v>105</v>
      </c>
      <c r="I7" s="3" t="s">
        <v>106</v>
      </c>
      <c r="J7" s="3" t="s">
        <v>107</v>
      </c>
      <c r="K7" s="1"/>
    </row>
    <row r="8" spans="1:11" x14ac:dyDescent="0.25">
      <c r="A8" s="1">
        <v>1</v>
      </c>
      <c r="B8" s="1">
        <v>10000</v>
      </c>
      <c r="C8" s="1">
        <v>72000</v>
      </c>
      <c r="D8" s="1">
        <v>0</v>
      </c>
      <c r="E8" s="1">
        <v>0</v>
      </c>
      <c r="F8" s="1" t="s">
        <v>110</v>
      </c>
      <c r="G8" s="1"/>
      <c r="H8" s="4" t="s">
        <v>105</v>
      </c>
      <c r="I8" s="4" t="s">
        <v>106</v>
      </c>
      <c r="J8" s="4" t="s">
        <v>107</v>
      </c>
      <c r="K8" s="4" t="s">
        <v>111</v>
      </c>
    </row>
    <row r="9" spans="1:11" x14ac:dyDescent="0.25">
      <c r="A9" s="1">
        <v>2</v>
      </c>
      <c r="B9" s="1">
        <v>12000</v>
      </c>
      <c r="C9" s="1">
        <v>78000</v>
      </c>
      <c r="D9" s="1">
        <v>0</v>
      </c>
      <c r="E9" s="1">
        <v>0</v>
      </c>
      <c r="F9" s="1" t="s">
        <v>110</v>
      </c>
      <c r="G9" s="1"/>
      <c r="H9" s="1" t="s">
        <v>115</v>
      </c>
      <c r="I9" s="1">
        <f>CORREL(B8:B19,C8:C19)</f>
        <v>0.99956225765738305</v>
      </c>
      <c r="J9" s="1" t="s">
        <v>200</v>
      </c>
      <c r="K9" s="1">
        <f>CORREL(B8:B19,C8:C19)</f>
        <v>0.99956225765738305</v>
      </c>
    </row>
    <row r="10" spans="1:11" x14ac:dyDescent="0.25">
      <c r="A10" s="1">
        <v>3</v>
      </c>
      <c r="B10" s="1">
        <v>14000</v>
      </c>
      <c r="C10" s="1">
        <v>83000</v>
      </c>
      <c r="D10" s="1">
        <v>0</v>
      </c>
      <c r="E10" s="1">
        <v>0</v>
      </c>
      <c r="F10" s="1" t="s">
        <v>110</v>
      </c>
      <c r="G10" s="1"/>
      <c r="H10" s="1" t="s">
        <v>119</v>
      </c>
      <c r="I10" s="1">
        <f>RSQ(C8:C19,B8:B19)</f>
        <v>0.99912470693312483</v>
      </c>
      <c r="J10" s="1" t="s">
        <v>201</v>
      </c>
      <c r="K10" s="1">
        <f>RSQ(C8:C19,B8:B19)</f>
        <v>0.99912470693312483</v>
      </c>
    </row>
    <row r="11" spans="1:11" x14ac:dyDescent="0.25">
      <c r="A11" s="1">
        <v>4</v>
      </c>
      <c r="B11" s="1">
        <v>16000</v>
      </c>
      <c r="C11" s="1">
        <v>90000</v>
      </c>
      <c r="D11" s="1">
        <v>0</v>
      </c>
      <c r="E11" s="1">
        <v>1</v>
      </c>
      <c r="F11" s="1" t="s">
        <v>121</v>
      </c>
      <c r="G11" s="1"/>
      <c r="H11" s="1" t="s">
        <v>202</v>
      </c>
      <c r="I11" s="1">
        <f>SLOPE(C8:C19,B8:B19)</f>
        <v>3.3466981132075473</v>
      </c>
      <c r="J11" s="1" t="s">
        <v>203</v>
      </c>
      <c r="K11" s="1">
        <f>SLOPE(C8:C19,B8:B19)</f>
        <v>3.3466981132075473</v>
      </c>
    </row>
    <row r="12" spans="1:11" x14ac:dyDescent="0.25">
      <c r="A12" s="1">
        <v>5</v>
      </c>
      <c r="B12" s="1">
        <v>18000</v>
      </c>
      <c r="C12" s="1">
        <v>97000</v>
      </c>
      <c r="D12" s="1">
        <v>0</v>
      </c>
      <c r="E12" s="1">
        <v>1</v>
      </c>
      <c r="F12" s="1" t="s">
        <v>121</v>
      </c>
      <c r="G12" s="1"/>
      <c r="H12" s="1" t="s">
        <v>204</v>
      </c>
      <c r="I12" s="1">
        <f>INTERCEPT(C8:C19,B8:B19)</f>
        <v>37122.641509433961</v>
      </c>
      <c r="J12" s="1" t="s">
        <v>205</v>
      </c>
      <c r="K12" s="1">
        <f>INTERCEPT(C8:C19,B8:B19)</f>
        <v>37122.641509433961</v>
      </c>
    </row>
    <row r="13" spans="1:11" x14ac:dyDescent="0.25">
      <c r="A13" s="1">
        <v>6</v>
      </c>
      <c r="B13" s="1">
        <v>20000</v>
      </c>
      <c r="C13" s="1">
        <v>103000</v>
      </c>
      <c r="D13" s="1">
        <v>0</v>
      </c>
      <c r="E13" s="1">
        <v>0</v>
      </c>
      <c r="F13" s="1" t="s">
        <v>110</v>
      </c>
      <c r="G13" s="1"/>
      <c r="H13" s="1" t="s">
        <v>206</v>
      </c>
      <c r="I13" s="1">
        <f>SLOPE(C8:C19,B8:B19)*28000+INTERCEPT(C8:C19,B8:B19)</f>
        <v>130830.18867924529</v>
      </c>
      <c r="J13" s="1" t="s">
        <v>207</v>
      </c>
      <c r="K13" s="1">
        <f>SLOPE(C8:C19,B8:B19)*28000+INTERCEPT(C8:C19,B8:B19)</f>
        <v>130830.18867924529</v>
      </c>
    </row>
    <row r="14" spans="1:11" x14ac:dyDescent="0.25">
      <c r="A14" s="1">
        <v>7</v>
      </c>
      <c r="B14" s="1">
        <v>22000</v>
      </c>
      <c r="C14" s="1">
        <v>110000</v>
      </c>
      <c r="D14" s="1">
        <v>0</v>
      </c>
      <c r="E14" s="1">
        <v>0</v>
      </c>
      <c r="F14" s="1" t="s">
        <v>110</v>
      </c>
      <c r="G14" s="1"/>
      <c r="H14" s="41"/>
      <c r="I14" s="41"/>
      <c r="J14" s="41"/>
      <c r="K14" s="41"/>
    </row>
    <row r="15" spans="1:11" ht="15.75" x14ac:dyDescent="0.25">
      <c r="A15" s="1">
        <v>8</v>
      </c>
      <c r="B15" s="1">
        <v>24000</v>
      </c>
      <c r="C15" s="1">
        <v>118000</v>
      </c>
      <c r="D15" s="1">
        <v>0</v>
      </c>
      <c r="E15" s="1">
        <v>1</v>
      </c>
      <c r="F15" s="1" t="s">
        <v>121</v>
      </c>
      <c r="G15" s="40"/>
      <c r="H15" s="46" t="s">
        <v>250</v>
      </c>
      <c r="I15" s="33"/>
      <c r="J15" s="33"/>
      <c r="K15" s="47"/>
    </row>
    <row r="16" spans="1:11" ht="60" x14ac:dyDescent="0.25">
      <c r="A16" s="1">
        <v>9</v>
      </c>
      <c r="B16" s="1">
        <v>26000</v>
      </c>
      <c r="C16" s="1">
        <v>124000</v>
      </c>
      <c r="D16" s="1">
        <v>0</v>
      </c>
      <c r="E16" s="1">
        <v>0</v>
      </c>
      <c r="F16" s="1" t="s">
        <v>110</v>
      </c>
      <c r="G16" s="40"/>
      <c r="H16" s="20" t="s">
        <v>96</v>
      </c>
      <c r="I16" s="14" t="s">
        <v>327</v>
      </c>
      <c r="J16" s="14" t="s">
        <v>328</v>
      </c>
      <c r="K16" s="15"/>
    </row>
    <row r="17" spans="1:11" ht="60" x14ac:dyDescent="0.25">
      <c r="A17" s="1">
        <v>10</v>
      </c>
      <c r="B17" s="1">
        <v>30000</v>
      </c>
      <c r="C17" s="1">
        <v>139000</v>
      </c>
      <c r="D17" s="1">
        <v>1</v>
      </c>
      <c r="E17" s="1">
        <v>1</v>
      </c>
      <c r="F17" s="1" t="s">
        <v>123</v>
      </c>
      <c r="G17" s="40"/>
      <c r="H17" s="20" t="s">
        <v>214</v>
      </c>
      <c r="I17" s="14" t="s">
        <v>329</v>
      </c>
      <c r="J17" s="14" t="s">
        <v>330</v>
      </c>
      <c r="K17" s="15"/>
    </row>
    <row r="18" spans="1:11" ht="60" x14ac:dyDescent="0.25">
      <c r="A18" s="1">
        <v>11</v>
      </c>
      <c r="B18" s="1">
        <v>34000</v>
      </c>
      <c r="C18" s="1">
        <v>151000</v>
      </c>
      <c r="D18" s="1">
        <v>1</v>
      </c>
      <c r="E18" s="1">
        <v>1</v>
      </c>
      <c r="F18" s="1" t="s">
        <v>123</v>
      </c>
      <c r="G18" s="40"/>
      <c r="H18" s="20" t="s">
        <v>331</v>
      </c>
      <c r="I18" s="14" t="s">
        <v>332</v>
      </c>
      <c r="J18" s="14" t="s">
        <v>333</v>
      </c>
      <c r="K18" s="15"/>
    </row>
    <row r="19" spans="1:11" ht="30" x14ac:dyDescent="0.25">
      <c r="A19" s="1">
        <v>12</v>
      </c>
      <c r="B19" s="1">
        <v>38000</v>
      </c>
      <c r="C19" s="1">
        <v>164000</v>
      </c>
      <c r="D19" s="1">
        <v>1</v>
      </c>
      <c r="E19" s="1">
        <v>1</v>
      </c>
      <c r="F19" s="1" t="s">
        <v>123</v>
      </c>
      <c r="G19" s="40"/>
      <c r="H19" s="19" t="s">
        <v>113</v>
      </c>
      <c r="I19" s="9">
        <f>COUNT(B8:B19)</f>
        <v>12</v>
      </c>
      <c r="J19" s="14" t="s">
        <v>334</v>
      </c>
      <c r="K19" s="15">
        <f>COUNT(B8:B19)</f>
        <v>12</v>
      </c>
    </row>
    <row r="20" spans="1:11" ht="45" x14ac:dyDescent="0.25">
      <c r="H20" s="19" t="s">
        <v>335</v>
      </c>
      <c r="I20" s="9">
        <f>CORREL(B8:B19,C8:C19)</f>
        <v>0.99956225765738305</v>
      </c>
      <c r="J20" s="14" t="s">
        <v>336</v>
      </c>
      <c r="K20" s="19">
        <f>CORREL(B8:B19,C8:C19)</f>
        <v>0.99956225765738305</v>
      </c>
    </row>
    <row r="21" spans="1:11" ht="30" x14ac:dyDescent="0.25">
      <c r="H21" s="19" t="s">
        <v>119</v>
      </c>
      <c r="I21" s="9">
        <f>RSQ(C8:C19,B8:B19)</f>
        <v>0.99912470693312483</v>
      </c>
      <c r="J21" s="14" t="s">
        <v>337</v>
      </c>
      <c r="K21" s="19">
        <f>RSQ(C8:C19,B8:B19)</f>
        <v>0.99912470693312483</v>
      </c>
    </row>
    <row r="22" spans="1:11" ht="45" x14ac:dyDescent="0.25">
      <c r="H22" s="19" t="s">
        <v>338</v>
      </c>
      <c r="I22" s="9">
        <f>SLOPE(C8:C19,B8:B19)</f>
        <v>3.3466981132075473</v>
      </c>
      <c r="J22" s="14" t="s">
        <v>339</v>
      </c>
      <c r="K22" s="19">
        <f>SLOPE(C8:C19,B8:B19)</f>
        <v>3.3466981132075473</v>
      </c>
    </row>
    <row r="23" spans="1:11" ht="60" x14ac:dyDescent="0.25">
      <c r="H23" s="19" t="s">
        <v>340</v>
      </c>
      <c r="I23" s="9">
        <f>INTERCEPT(C8:C19,B8:B19)</f>
        <v>37122.641509433961</v>
      </c>
      <c r="J23" s="14" t="s">
        <v>341</v>
      </c>
      <c r="K23" s="19">
        <f>INTERCEPT(C8:C19,B8:B19)</f>
        <v>37122.641509433961</v>
      </c>
    </row>
    <row r="24" spans="1:11" ht="30" x14ac:dyDescent="0.25">
      <c r="H24" s="19" t="s">
        <v>342</v>
      </c>
      <c r="I24" s="9" t="str">
        <f>"Sales = "&amp;TEXT(I23,"$#,##0")&amp;" + "&amp;TEXT(I22,"0.00")&amp;" × Ad Spend"</f>
        <v>Sales = $37,123 + 3.35 × Ad Spend</v>
      </c>
      <c r="J24" s="14" t="s">
        <v>343</v>
      </c>
      <c r="K24" s="19"/>
    </row>
    <row r="25" spans="1:11" ht="30" x14ac:dyDescent="0.25">
      <c r="H25" s="19" t="s">
        <v>344</v>
      </c>
      <c r="I25" s="9">
        <v>28000</v>
      </c>
      <c r="J25" s="14" t="s">
        <v>345</v>
      </c>
      <c r="K25" s="19"/>
    </row>
    <row r="26" spans="1:11" ht="30" x14ac:dyDescent="0.25">
      <c r="H26" s="19" t="s">
        <v>346</v>
      </c>
      <c r="I26" s="9">
        <f>I23+I22*I25</f>
        <v>130830.18867924529</v>
      </c>
      <c r="J26" s="14" t="s">
        <v>347</v>
      </c>
      <c r="K26" s="19">
        <f>INTERCEPT(C8:C19,B8:B19)+SLOPE(C8:C19,B8:B19)*I25</f>
        <v>130830.18867924529</v>
      </c>
    </row>
    <row r="27" spans="1:11" ht="30" x14ac:dyDescent="0.25">
      <c r="H27" s="19" t="s">
        <v>348</v>
      </c>
      <c r="I27" s="9">
        <f>SQRT(SUMXMY2(C8:C19,INTERCEPT(C8:C19,B8:B19)+SLOPE(C8:C19,B8:B19)*B8:B19)/(COUNT(B8:B19)-2))</f>
        <v>912.18170980245065</v>
      </c>
      <c r="J27" s="14" t="s">
        <v>349</v>
      </c>
      <c r="K27" s="19"/>
    </row>
    <row r="28" spans="1:11" ht="45" x14ac:dyDescent="0.25">
      <c r="H28" s="19" t="s">
        <v>350</v>
      </c>
      <c r="I28" s="9" t="str">
        <f>TEXT(I26-2*I27,"$#,##0")&amp;" to "&amp;TEXT(I26+2*I27,"$#,##0")</f>
        <v>$129,006 to $132,655</v>
      </c>
      <c r="J28" s="14" t="s">
        <v>351</v>
      </c>
      <c r="K28" s="19"/>
    </row>
    <row r="29" spans="1:11" ht="30" x14ac:dyDescent="0.25">
      <c r="H29" s="19" t="s">
        <v>352</v>
      </c>
      <c r="I29" s="9">
        <f>TDIST(ABS(I22/(I27/SQRT(DEVSQ(B8:B19)))),I19-2,2)</f>
        <v>1.2648134532009882E-16</v>
      </c>
      <c r="J29" s="14" t="s">
        <v>353</v>
      </c>
      <c r="K29" s="19">
        <f>TDIST(ABS(SLOPE(C8:C19,B8:B19)/(I27/SQRT(DEVSQ(B8:B19)))),COUNT(B8:B19)-2,2)</f>
        <v>1.2648134532009882E-16</v>
      </c>
    </row>
    <row r="30" spans="1:11" ht="30" x14ac:dyDescent="0.25">
      <c r="H30" s="19" t="s">
        <v>220</v>
      </c>
      <c r="I30" s="9" t="str">
        <f>IF(I29&lt;0.05,"Use regression: predictive relationship is statistically significant","Do not rely on this model alone")</f>
        <v>Use regression: predictive relationship is statistically significant</v>
      </c>
      <c r="J30" s="14" t="str">
        <f>IF(I29&lt;0.05,"Ad spend is a statistically significant predictor of sales revenue in this sample.","The slope is not statistically significant; prediction from ad spend alone is weak.")</f>
        <v>Ad spend is a statistically significant predictor of sales revenue in this sample.</v>
      </c>
      <c r="K30" s="19"/>
    </row>
    <row r="31" spans="1:11" ht="60" x14ac:dyDescent="0.25">
      <c r="H31" s="19" t="s">
        <v>74</v>
      </c>
      <c r="I31" s="9" t="s">
        <v>354</v>
      </c>
      <c r="J31" s="14" t="s">
        <v>355</v>
      </c>
      <c r="K31" s="19"/>
    </row>
    <row r="32" spans="1:11" ht="75" x14ac:dyDescent="0.25">
      <c r="H32" s="19" t="s">
        <v>222</v>
      </c>
      <c r="I32" s="9" t="s">
        <v>356</v>
      </c>
      <c r="J32" s="14" t="s">
        <v>357</v>
      </c>
      <c r="K32" s="19"/>
    </row>
    <row r="33" spans="8:11" ht="75" x14ac:dyDescent="0.25">
      <c r="H33" s="19" t="s">
        <v>358</v>
      </c>
      <c r="I33" s="9" t="s">
        <v>359</v>
      </c>
      <c r="J33" s="14" t="s">
        <v>360</v>
      </c>
      <c r="K33" s="19"/>
    </row>
    <row r="34" spans="8:11" ht="60" x14ac:dyDescent="0.25">
      <c r="H34" s="19" t="s">
        <v>361</v>
      </c>
      <c r="I34" s="9" t="s">
        <v>362</v>
      </c>
      <c r="J34" s="14" t="s">
        <v>363</v>
      </c>
      <c r="K34" s="19"/>
    </row>
  </sheetData>
  <mergeCells count="5">
    <mergeCell ref="A1:J1"/>
    <mergeCell ref="B3:J3"/>
    <mergeCell ref="B4:J4"/>
    <mergeCell ref="H6:K6"/>
    <mergeCell ref="H15:K1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Prompt_Bank</vt:lpstr>
      <vt:lpstr>Answer_Key</vt:lpstr>
      <vt:lpstr>Pearson_Linear</vt:lpstr>
      <vt:lpstr>Spearman_Rank</vt:lpstr>
      <vt:lpstr>Binary_Numeric</vt:lpstr>
      <vt:lpstr>Categorical_Not_Corr</vt:lpstr>
      <vt:lpstr>Regression_Prediction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Zapata</cp:lastModifiedBy>
  <dcterms:created xsi:type="dcterms:W3CDTF">2026-07-02T17:52:37Z</dcterms:created>
  <dcterms:modified xsi:type="dcterms:W3CDTF">2026-07-02T19:44:54Z</dcterms:modified>
</cp:coreProperties>
</file>