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mpt_Bank" sheetId="2" state="visible" r:id="rId2"/>
    <sheet name="Answer_Key" sheetId="3" state="visible" r:id="rId3"/>
    <sheet name="Pearson_Linear" sheetId="4" state="visible" r:id="rId4"/>
    <sheet name="Spearman_Rank" sheetId="5" state="visible" r:id="rId5"/>
    <sheet name="Binary_Numeric" sheetId="6" state="visible" r:id="rId6"/>
    <sheet name="Categorical_Not_Corr" sheetId="7" state="visible" r:id="rId7"/>
    <sheet name="Regression_Predic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Marketing spend vs sales</a:t>
            </a:r>
          </a:p>
        </rich>
      </tx>
    </title>
    <plotArea>
      <scatterChart>
        <ser>
          <idx val="0"/>
          <order val="0"/>
          <tx>
            <v>Marketing spend vs sales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'Pearson_Linear'!$B$8:$B$19</f>
            </numRef>
          </xVal>
          <yVal>
            <numRef>
              <f>'Pearson_Linear'!$C$8:$C$19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Marketing_Spend_USD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Sales_Revenue_USD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Customer effort vs churn risk</a:t>
            </a:r>
          </a:p>
        </rich>
      </tx>
    </title>
    <plotArea>
      <scatterChart>
        <ser>
          <idx val="0"/>
          <order val="0"/>
          <tx>
            <v>Customer effort vs churn risk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'Spearman_Rank'!$B$8:$B$21</f>
            </numRef>
          </xVal>
          <yVal>
            <numRef>
              <f>'Spearman_Rank'!$C$8:$C$21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Customer_Effort_1_to_5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Churn_Risk_Percent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Ad spend vs sales revenue</a:t>
            </a:r>
          </a:p>
        </rich>
      </tx>
    </title>
    <plotArea>
      <scatterChart>
        <ser>
          <idx val="0"/>
          <order val="0"/>
          <tx>
            <v>Ad spend vs sales revenue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xVal>
            <numRef>
              <f>'Regression_Prediction'!$B$8:$B$19</f>
            </numRef>
          </xVal>
          <yVal>
            <numRef>
              <f>'Regression_Prediction'!$C$8:$C$19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Ad_Spend_USD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Sales_Revenue_USD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13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12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14</row>
      <rowOff>0</rowOff>
    </from>
    <ext cx="432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22" customWidth="1" min="3" max="3"/>
    <col width="28" customWidth="1" min="4" max="4"/>
    <col width="42" customWidth="1" min="5" max="5"/>
    <col width="42" customWidth="1" min="6" max="6"/>
  </cols>
  <sheetData>
    <row r="1" ht="26" customHeight="1">
      <c r="A1" s="1" t="inlineStr">
        <is>
          <t>Correlation Skill Test Workbook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3" t="inlineStr">
        <is>
          <t>Purpose</t>
        </is>
      </c>
      <c r="B3" s="2" t="inlineStr">
        <is>
          <t>This workbook tests the new correlation-analysis section of the ChatGPT-in-Excel statistical analysis skill.</t>
        </is>
      </c>
      <c r="C3" s="2" t="n"/>
      <c r="D3" s="2" t="n"/>
      <c r="E3" s="2" t="n"/>
      <c r="F3" s="2" t="n"/>
    </row>
    <row r="4">
      <c r="A4" s="2" t="n"/>
      <c r="B4" s="2" t="n"/>
      <c r="C4" s="2" t="n"/>
      <c r="D4" s="2" t="n"/>
      <c r="E4" s="2" t="n"/>
      <c r="F4" s="2" t="n"/>
    </row>
    <row r="5">
      <c r="A5" s="3" t="inlineStr">
        <is>
          <t>How to use it</t>
        </is>
      </c>
      <c r="B5" s="2" t="inlineStr">
        <is>
          <t>Open one scenario sheet at a time, then paste the matching prompt from Prompt_Bank into ChatGPT in Excel. Compare the response against Answer_Key.</t>
        </is>
      </c>
      <c r="C5" s="2" t="n"/>
      <c r="D5" s="2" t="n"/>
      <c r="E5" s="2" t="n"/>
      <c r="F5" s="2" t="n"/>
    </row>
    <row r="6">
      <c r="A6" s="2" t="n"/>
      <c r="B6" s="2" t="n"/>
      <c r="C6" s="2" t="n"/>
      <c r="D6" s="2" t="n"/>
      <c r="E6" s="2" t="n"/>
      <c r="F6" s="2" t="n"/>
    </row>
    <row r="7">
      <c r="A7" s="3" t="inlineStr">
        <is>
          <t>Important</t>
        </is>
      </c>
      <c r="B7" s="2" t="inlineStr">
        <is>
          <t>The goal is not only to calculate a coefficient. The skill should identify whether correlation is appropriate, choose Pearson or Spearman when needed, warn about causation limits, and redirect to chi-squared or regression when correlation is not the best method.</t>
        </is>
      </c>
      <c r="C7" s="2" t="n"/>
      <c r="D7" s="2" t="n"/>
      <c r="E7" s="2" t="n"/>
      <c r="F7" s="2" t="n"/>
    </row>
    <row r="8">
      <c r="A8" s="2" t="n"/>
      <c r="B8" s="2" t="n"/>
      <c r="C8" s="2" t="n"/>
      <c r="D8" s="2" t="n"/>
      <c r="E8" s="2" t="n"/>
      <c r="F8" s="2" t="n"/>
    </row>
    <row r="9">
      <c r="A9" s="2" t="n"/>
      <c r="B9" s="2" t="n"/>
      <c r="C9" s="2" t="n"/>
      <c r="D9" s="2" t="n"/>
      <c r="E9" s="2" t="n"/>
      <c r="F9" s="2" t="n"/>
    </row>
    <row r="10">
      <c r="A10" s="4" t="inlineStr">
        <is>
          <t>Sheet</t>
        </is>
      </c>
      <c r="B10" s="4" t="inlineStr">
        <is>
          <t>Main test</t>
        </is>
      </c>
      <c r="C10" s="4" t="inlineStr">
        <is>
          <t>Metric type</t>
        </is>
      </c>
      <c r="D10" s="4" t="inlineStr">
        <is>
          <t>Expected method</t>
        </is>
      </c>
      <c r="E10" s="4" t="inlineStr">
        <is>
          <t>Deliberate trap</t>
        </is>
      </c>
      <c r="F10" s="4" t="inlineStr">
        <is>
          <t>Business point</t>
        </is>
      </c>
    </row>
    <row r="11">
      <c r="A11" s="2" t="inlineStr">
        <is>
          <t>Pearson_Linear</t>
        </is>
      </c>
      <c r="B11" s="2" t="inlineStr">
        <is>
          <t>Two numeric variables with roughly linear relationship</t>
        </is>
      </c>
      <c r="C11" s="2" t="inlineStr">
        <is>
          <t>Continuous numeric</t>
        </is>
      </c>
      <c r="D11" s="2" t="inlineStr">
        <is>
          <t>Pearson correlation</t>
        </is>
      </c>
      <c r="E11" s="2" t="inlineStr">
        <is>
          <t>Do not imply causation</t>
        </is>
      </c>
      <c r="F11" s="2" t="inlineStr">
        <is>
          <t>Marketing spend and sales may move together, but other drivers may exist</t>
        </is>
      </c>
    </row>
    <row r="12">
      <c r="A12" s="2" t="inlineStr">
        <is>
          <t>Spearman_Rank</t>
        </is>
      </c>
      <c r="B12" s="2" t="inlineStr">
        <is>
          <t>Ordinal/skewed monotonic relationship</t>
        </is>
      </c>
      <c r="C12" s="2" t="inlineStr">
        <is>
          <t>Ordinal + numeric</t>
        </is>
      </c>
      <c r="D12" s="2" t="inlineStr">
        <is>
          <t>Spearman correlation</t>
        </is>
      </c>
      <c r="E12" s="2" t="inlineStr">
        <is>
          <t>Pearson may understate or distort ordinal/skewed relationships</t>
        </is>
      </c>
      <c r="F12" s="2" t="inlineStr">
        <is>
          <t>Customer effort may align with churn risk</t>
        </is>
      </c>
    </row>
    <row r="13">
      <c r="A13" s="2" t="inlineStr">
        <is>
          <t>Binary_Numeric</t>
        </is>
      </c>
      <c r="B13" s="2" t="inlineStr">
        <is>
          <t>Binary variable vs numeric variable</t>
        </is>
      </c>
      <c r="C13" s="2" t="inlineStr">
        <is>
          <t>0/1 flag + numeric</t>
        </is>
      </c>
      <c r="D13" s="2" t="inlineStr">
        <is>
          <t>Point-biserial correlation or group comparison</t>
        </is>
      </c>
      <c r="E13" s="2" t="inlineStr">
        <is>
          <t>Correlation is possible but may not be the clearest business answer</t>
        </is>
      </c>
      <c r="F13" s="2" t="inlineStr">
        <is>
          <t>Premium support customers may have different revenue</t>
        </is>
      </c>
    </row>
    <row r="14">
      <c r="A14" s="2" t="inlineStr">
        <is>
          <t>Categorical_Not_Corr</t>
        </is>
      </c>
      <c r="B14" s="2" t="inlineStr">
        <is>
          <t>Two categorical variables</t>
        </is>
      </c>
      <c r="C14" s="2" t="inlineStr">
        <is>
          <t>Categorical counts</t>
        </is>
      </c>
      <c r="D14" s="2" t="inlineStr">
        <is>
          <t>Chi-squared test, not correlation</t>
        </is>
      </c>
      <c r="E14" s="2" t="inlineStr">
        <is>
          <t>Do not force correlation on categories</t>
        </is>
      </c>
      <c r="F14" s="2" t="inlineStr">
        <is>
          <t>Complaint type may be associated with product category</t>
        </is>
      </c>
    </row>
    <row r="15">
      <c r="A15" s="2" t="inlineStr">
        <is>
          <t>Regression_Prediction</t>
        </is>
      </c>
      <c r="B15" s="2" t="inlineStr">
        <is>
          <t>Prediction or driver analysis</t>
        </is>
      </c>
      <c r="C15" s="2" t="inlineStr">
        <is>
          <t>Numeric predictor + numeric outcome</t>
        </is>
      </c>
      <c r="D15" s="2" t="inlineStr">
        <is>
          <t>Regression, not correlation alone</t>
        </is>
      </c>
      <c r="E15" s="2" t="inlineStr">
        <is>
          <t>Correlation is not enough when the goal is prediction</t>
        </is>
      </c>
      <c r="F15" s="2" t="inlineStr">
        <is>
          <t>Ad spend can be used to estimate revenue with caution</t>
        </is>
      </c>
    </row>
  </sheetData>
  <mergeCells count="4">
    <mergeCell ref="A1:F1"/>
    <mergeCell ref="B7:F7"/>
    <mergeCell ref="B3:F3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58" customWidth="1" min="4" max="4"/>
    <col width="58" customWidth="1" min="5" max="5"/>
    <col width="14" customWidth="1" min="6" max="6"/>
  </cols>
  <sheetData>
    <row r="1" ht="26" customHeight="1">
      <c r="A1" s="1" t="inlineStr">
        <is>
          <t>Prompt Bank for Testing Correlation Analysis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4" t="inlineStr">
        <is>
          <t>Test area</t>
        </is>
      </c>
      <c r="B3" s="4" t="inlineStr">
        <is>
          <t>Business situation</t>
        </is>
      </c>
      <c r="C3" s="4" t="inlineStr">
        <is>
          <t>Sheet to use</t>
        </is>
      </c>
      <c r="D3" s="4" t="inlineStr">
        <is>
          <t>Prompt to paste</t>
        </is>
      </c>
      <c r="E3" s="4" t="inlineStr">
        <is>
          <t>What a good answer should include</t>
        </is>
      </c>
      <c r="F3" s="4" t="inlineStr">
        <is>
          <t>Difficulty</t>
        </is>
      </c>
    </row>
    <row r="4">
      <c r="A4" s="2" t="inlineStr">
        <is>
          <t>Pearson correlation</t>
        </is>
      </c>
      <c r="B4" s="2" t="inlineStr">
        <is>
          <t>Marketing team wants to know whether monthly campaign spend moves with sales.</t>
        </is>
      </c>
      <c r="C4" s="2" t="inlineStr">
        <is>
          <t>Pearson_Linear</t>
        </is>
      </c>
      <c r="D4" s="2" t="inlineStr">
        <is>
          <t>Analyze whether Marketing_Spend_USD and Sales_Revenue_USD move together. Choose the right correlation method, check assumptions, and give a business interpretation.</t>
        </is>
      </c>
      <c r="E4" s="2" t="inlineStr">
        <is>
          <t>Pearson correlation, scatterplot recommendation, direction/strength, no causal claim, next step by campaign or seasonality.</t>
        </is>
      </c>
      <c r="F4" s="2" t="inlineStr">
        <is>
          <t>Easy</t>
        </is>
      </c>
    </row>
    <row r="5">
      <c r="A5" s="2" t="inlineStr">
        <is>
          <t>Spearman correlation</t>
        </is>
      </c>
      <c r="B5" s="2" t="inlineStr">
        <is>
          <t>Customer success team wants to know whether higher effort scores align with churn risk.</t>
        </is>
      </c>
      <c r="C5" s="2" t="inlineStr">
        <is>
          <t>Spearman_Rank</t>
        </is>
      </c>
      <c r="D5" s="2" t="inlineStr">
        <is>
          <t>Analyze the relationship between Customer_Effort_1_to_5 and Churn_Risk_Percent. Explain whether Pearson or Spearman is more appropriate.</t>
        </is>
      </c>
      <c r="E5" s="2" t="inlineStr">
        <is>
          <t>Spearman because effort score is ordinal and relationship is monotonic/skewed; direction, strength, cautions, business recommendation.</t>
        </is>
      </c>
      <c r="F5" s="2" t="inlineStr">
        <is>
          <t>Medium</t>
        </is>
      </c>
    </row>
    <row r="6">
      <c r="A6" s="2" t="inlineStr">
        <is>
          <t>Binary vs numeric</t>
        </is>
      </c>
      <c r="B6" s="2" t="inlineStr">
        <is>
          <t>Operations wants to know whether premium-support customers have higher monthly revenue.</t>
        </is>
      </c>
      <c r="C6" s="2" t="inlineStr">
        <is>
          <t>Binary_Numeric</t>
        </is>
      </c>
      <c r="D6" s="2" t="inlineStr">
        <is>
          <t>Analyze whether Premium_Support_Flag is associated with Monthly_Revenue_USD. Should this be treated as a normal correlation question?</t>
        </is>
      </c>
      <c r="E6" s="2" t="inlineStr">
        <is>
          <t>Recognize binary numeric case; point-biserial possible via encoded 0/1, but group comparison/t-test may be clearer; compare means.</t>
        </is>
      </c>
      <c r="F6" s="2" t="inlineStr">
        <is>
          <t>Medium</t>
        </is>
      </c>
    </row>
    <row r="7">
      <c r="A7" s="2" t="inlineStr">
        <is>
          <t>Categorical association</t>
        </is>
      </c>
      <c r="B7" s="2" t="inlineStr">
        <is>
          <t>Product team wants to know whether complaint type is related to product category.</t>
        </is>
      </c>
      <c r="C7" s="2" t="inlineStr">
        <is>
          <t>Categorical_Not_Corr</t>
        </is>
      </c>
      <c r="D7" s="2" t="inlineStr">
        <is>
          <t>Are Product_Category and Complaint_Type correlated? If not, choose the right method and explain the business meaning.</t>
        </is>
      </c>
      <c r="E7" s="2" t="inlineStr">
        <is>
          <t>Do not use correlation; use chi-squared test of independence; actual/expected counts; association not causation.</t>
        </is>
      </c>
      <c r="F7" s="2" t="inlineStr">
        <is>
          <t>Medium</t>
        </is>
      </c>
    </row>
    <row r="8">
      <c r="A8" s="2" t="inlineStr">
        <is>
          <t>Regression redirect</t>
        </is>
      </c>
      <c r="B8" s="2" t="inlineStr">
        <is>
          <t>Commercial team wants to predict revenue from advertising spend.</t>
        </is>
      </c>
      <c r="C8" s="2" t="inlineStr">
        <is>
          <t>Regression_Prediction</t>
        </is>
      </c>
      <c r="D8" s="2" t="inlineStr">
        <is>
          <t>Can we use Ad_Spend_USD to predict Sales_Revenue_USD? Start with correlation if helpful, but recommend the right method for prediction.</t>
        </is>
      </c>
      <c r="E8" s="2" t="inlineStr">
        <is>
          <t>Correlation as first diagnostic; regression is better for prediction; slope/intercept/R-squared; limitations and next step.</t>
        </is>
      </c>
      <c r="F8" s="2" t="inlineStr">
        <is>
          <t>Medium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32" customWidth="1" min="3" max="3"/>
    <col width="46" customWidth="1" min="4" max="4"/>
    <col width="48" customWidth="1" min="5" max="5"/>
    <col width="46" customWidth="1" min="6" max="6"/>
  </cols>
  <sheetData>
    <row r="1" ht="26" customHeight="1">
      <c r="A1" s="1" t="inlineStr">
        <is>
          <t>Answer Key / Expected Interpretation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>
      <c r="A3" s="4" t="inlineStr">
        <is>
          <t>Sheet</t>
        </is>
      </c>
      <c r="B3" s="4" t="inlineStr">
        <is>
          <t>Question type</t>
        </is>
      </c>
      <c r="C3" s="4" t="inlineStr">
        <is>
          <t>Expected method</t>
        </is>
      </c>
      <c r="D3" s="4" t="inlineStr">
        <is>
          <t>Expected conclusion</t>
        </is>
      </c>
      <c r="E3" s="4" t="inlineStr">
        <is>
          <t>Caution / what the skill should say</t>
        </is>
      </c>
      <c r="F3" s="4" t="inlineStr">
        <is>
          <t>Business interpretation</t>
        </is>
      </c>
    </row>
    <row r="4">
      <c r="A4" s="2" t="inlineStr">
        <is>
          <t>Pearson_Linear</t>
        </is>
      </c>
      <c r="B4" s="2" t="inlineStr">
        <is>
          <t>Two numeric variables</t>
        </is>
      </c>
      <c r="C4" s="2" t="inlineStr">
        <is>
          <t>Pearson correlation</t>
        </is>
      </c>
      <c r="D4" s="2" t="inlineStr">
        <is>
          <t>Strong positive association expected between marketing spend and sales.</t>
        </is>
      </c>
      <c r="E4" s="2" t="inlineStr">
        <is>
          <t>Correlation does not prove marketing caused sales; review scatterplot, seasonality, and campaign mix.</t>
        </is>
      </c>
      <c r="F4" s="2" t="inlineStr">
        <is>
          <t>Higher spend periods tend to coincide with higher sales; investigate drivers before reallocating budget.</t>
        </is>
      </c>
    </row>
    <row r="5">
      <c r="A5" s="2" t="inlineStr">
        <is>
          <t>Spearman_Rank</t>
        </is>
      </c>
      <c r="B5" s="2" t="inlineStr">
        <is>
          <t>Ordinal/skewed monotonic relationship</t>
        </is>
      </c>
      <c r="C5" s="2" t="inlineStr">
        <is>
          <t>Spearman correlation</t>
        </is>
      </c>
      <c r="D5" s="2" t="inlineStr">
        <is>
          <t>Higher customer effort should align with higher churn risk.</t>
        </is>
      </c>
      <c r="E5" s="2" t="inlineStr">
        <is>
          <t>Effort score is ordinal, so Spearman is more appropriate than default Pearson.</t>
        </is>
      </c>
      <c r="F5" s="2" t="inlineStr">
        <is>
          <t>Customers reporting more effort appear riskier; prioritize friction reduction.</t>
        </is>
      </c>
    </row>
    <row r="6">
      <c r="A6" s="2" t="inlineStr">
        <is>
          <t>Binary_Numeric</t>
        </is>
      </c>
      <c r="B6" s="2" t="inlineStr">
        <is>
          <t>Binary flag vs numeric outcome</t>
        </is>
      </c>
      <c r="C6" s="2" t="inlineStr">
        <is>
          <t>Point-biserial correlation or group comparison</t>
        </is>
      </c>
      <c r="D6" s="2" t="inlineStr">
        <is>
          <t>Premium-support customers likely show higher average revenue.</t>
        </is>
      </c>
      <c r="E6" s="2" t="inlineStr">
        <is>
          <t>A group comparison may be clearer than calling this a standard correlation problem.</t>
        </is>
      </c>
      <c r="F6" s="2" t="inlineStr">
        <is>
          <t>Premium support is associated with higher revenue, but plan tier or company size may confound the result.</t>
        </is>
      </c>
    </row>
    <row r="7">
      <c r="A7" s="2" t="inlineStr">
        <is>
          <t>Categorical_Not_Corr</t>
        </is>
      </c>
      <c r="B7" s="2" t="inlineStr">
        <is>
          <t>Two categorical variables</t>
        </is>
      </c>
      <c r="C7" s="2" t="inlineStr">
        <is>
          <t>Chi-squared test of independence</t>
        </is>
      </c>
      <c r="D7" s="2" t="inlineStr">
        <is>
          <t>Complaint type should appear associated with product category.</t>
        </is>
      </c>
      <c r="E7" s="2" t="inlineStr">
        <is>
          <t>This is not a correlation problem. Use actual vs expected counts and avoid causal claims.</t>
        </is>
      </c>
      <c r="F7" s="2" t="inlineStr">
        <is>
          <t>Quality complaints are concentrated in one category; investigate process or expectations.</t>
        </is>
      </c>
    </row>
    <row r="8">
      <c r="A8" s="2" t="inlineStr">
        <is>
          <t>Regression_Prediction</t>
        </is>
      </c>
      <c r="B8" s="2" t="inlineStr">
        <is>
          <t>Prediction / driver analysis</t>
        </is>
      </c>
      <c r="C8" s="2" t="inlineStr">
        <is>
          <t>Regression</t>
        </is>
      </c>
      <c r="D8" s="2" t="inlineStr">
        <is>
          <t>Ad spend and revenue should be strongly related, but prediction requires regression.</t>
        </is>
      </c>
      <c r="E8" s="2" t="inlineStr">
        <is>
          <t>Correlation alone cannot estimate expected revenue change per dollar of ad spend.</t>
        </is>
      </c>
      <c r="F8" s="2" t="inlineStr">
        <is>
          <t>Use regression to estimate revenue impact, then validate with holdout periods or experiments.</t>
        </is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8" customWidth="1" min="4" max="4"/>
    <col width="14" customWidth="1" min="5" max="5"/>
    <col width="28" customWidth="1" min="6" max="6"/>
    <col width="4" customWidth="1" min="7" max="7"/>
    <col width="24" customWidth="1" min="8" max="8"/>
    <col width="18" customWidth="1" min="9" max="9"/>
    <col width="36" customWidth="1" min="10" max="10"/>
  </cols>
  <sheetData>
    <row r="1" ht="26" customHeight="1">
      <c r="A1" s="1" t="inlineStr">
        <is>
          <t>Correlation Scenario 1: Pearson Correlation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Business question</t>
        </is>
      </c>
      <c r="B3" s="2" t="inlineStr">
        <is>
          <t>Does higher monthly marketing spend tend to move with higher sales revenue?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Design note</t>
        </is>
      </c>
      <c r="B4" s="2" t="inlineStr">
        <is>
          <t>Both variables are continuous numeric metrics. The expected relationship is roughly linear, so Pearson correlation is the appropriate first method. The skill should still warn that correlation is not causation.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4" t="inlineStr">
        <is>
          <t>Month_N</t>
        </is>
      </c>
      <c r="B7" s="4" t="inlineStr">
        <is>
          <t>Marketing_Spend_USD</t>
        </is>
      </c>
      <c r="C7" s="4" t="inlineStr">
        <is>
          <t>Sales_Revenue_USD</t>
        </is>
      </c>
      <c r="D7" s="4" t="inlineStr">
        <is>
          <t>Campaign_Type</t>
        </is>
      </c>
      <c r="E7" s="4" t="inlineStr">
        <is>
          <t>Season</t>
        </is>
      </c>
      <c r="F7" s="4" t="inlineStr">
        <is>
          <t>Analyst_Note</t>
        </is>
      </c>
      <c r="G7" s="4" t="inlineStr"/>
      <c r="H7" s="4" t="inlineStr">
        <is>
          <t>Formula check</t>
        </is>
      </c>
      <c r="I7" s="4" t="inlineStr">
        <is>
          <t>Value</t>
        </is>
      </c>
      <c r="J7" s="4" t="inlineStr">
        <is>
          <t>Interpretation</t>
        </is>
      </c>
      <c r="K7" s="2" t="n"/>
    </row>
    <row r="8">
      <c r="A8" s="2" t="n">
        <v>1</v>
      </c>
      <c r="B8" s="2" t="n">
        <v>12000</v>
      </c>
      <c r="C8" s="2" t="n">
        <v>83000</v>
      </c>
      <c r="D8" s="2" t="inlineStr">
        <is>
          <t>Search</t>
        </is>
      </c>
      <c r="E8" s="2" t="inlineStr">
        <is>
          <t>Q1</t>
        </is>
      </c>
      <c r="F8" s="2" t="inlineStr">
        <is>
          <t>Baseline</t>
        </is>
      </c>
      <c r="G8" s="2" t="n"/>
      <c r="H8" s="5" t="inlineStr">
        <is>
          <t>Formula check</t>
        </is>
      </c>
      <c r="I8" s="5" t="inlineStr">
        <is>
          <t>Value</t>
        </is>
      </c>
      <c r="J8" s="5" t="inlineStr">
        <is>
          <t>Interpretation</t>
        </is>
      </c>
      <c r="K8" s="5" t="inlineStr">
        <is>
          <t>Excel formula</t>
        </is>
      </c>
    </row>
    <row r="9">
      <c r="A9" s="2" t="n">
        <v>2</v>
      </c>
      <c r="B9" s="2" t="n">
        <v>13500</v>
      </c>
      <c r="C9" s="2" t="n">
        <v>87000</v>
      </c>
      <c r="D9" s="2" t="inlineStr">
        <is>
          <t>Search</t>
        </is>
      </c>
      <c r="E9" s="2" t="inlineStr">
        <is>
          <t>Q1</t>
        </is>
      </c>
      <c r="F9" s="2" t="inlineStr">
        <is>
          <t>Baseline</t>
        </is>
      </c>
      <c r="G9" s="2" t="n"/>
      <c r="H9" s="2" t="inlineStr">
        <is>
          <t>n periods</t>
        </is>
      </c>
      <c r="I9" s="2">
        <f>COUNT(B8:B19)</f>
        <v/>
      </c>
      <c r="J9" s="2" t="inlineStr">
        <is>
          <t>Sample size</t>
        </is>
      </c>
      <c r="K9" s="2">
        <f>COUNT(Marketing_Spend_USD)</f>
        <v/>
      </c>
    </row>
    <row r="10">
      <c r="A10" s="2" t="n">
        <v>3</v>
      </c>
      <c r="B10" s="2" t="n">
        <v>15000</v>
      </c>
      <c r="C10" s="2" t="n">
        <v>92000</v>
      </c>
      <c r="D10" s="2" t="inlineStr">
        <is>
          <t>Social</t>
        </is>
      </c>
      <c r="E10" s="2" t="inlineStr">
        <is>
          <t>Q1</t>
        </is>
      </c>
      <c r="F10" s="2" t="inlineStr">
        <is>
          <t>Baseline</t>
        </is>
      </c>
      <c r="G10" s="2" t="n"/>
      <c r="H10" s="2" t="inlineStr">
        <is>
          <t>Pearson r</t>
        </is>
      </c>
      <c r="I10" s="2">
        <f>CORREL(B8:B19,C8:C19)</f>
        <v/>
      </c>
      <c r="J10" s="2" t="inlineStr">
        <is>
          <t>Expected: strong positive</t>
        </is>
      </c>
      <c r="K10" s="2">
        <f>CORREL(spend, revenue)</f>
        <v/>
      </c>
    </row>
    <row r="11">
      <c r="A11" s="2" t="n">
        <v>4</v>
      </c>
      <c r="B11" s="2" t="n">
        <v>16000</v>
      </c>
      <c r="C11" s="2" t="n">
        <v>97000</v>
      </c>
      <c r="D11" s="2" t="inlineStr">
        <is>
          <t>Social</t>
        </is>
      </c>
      <c r="E11" s="2" t="inlineStr">
        <is>
          <t>Q2</t>
        </is>
      </c>
      <c r="F11" s="2" t="inlineStr">
        <is>
          <t>Baseline</t>
        </is>
      </c>
      <c r="G11" s="2" t="n"/>
      <c r="H11" s="2" t="inlineStr">
        <is>
          <t>Excel PEARSON</t>
        </is>
      </c>
      <c r="I11" s="2">
        <f>PEARSON(B8:B19,C8:C19)</f>
        <v/>
      </c>
      <c r="J11" s="2" t="inlineStr">
        <is>
          <t>Should match CORREL</t>
        </is>
      </c>
      <c r="K11" s="2">
        <f>PEARSON(spend, revenue)</f>
        <v/>
      </c>
    </row>
    <row r="12">
      <c r="A12" s="2" t="n">
        <v>5</v>
      </c>
      <c r="B12" s="2" t="n">
        <v>18000</v>
      </c>
      <c r="C12" s="2" t="n">
        <v>103000</v>
      </c>
      <c r="D12" s="2" t="inlineStr">
        <is>
          <t>Email</t>
        </is>
      </c>
      <c r="E12" s="2" t="inlineStr">
        <is>
          <t>Q2</t>
        </is>
      </c>
      <c r="F12" s="2" t="inlineStr">
        <is>
          <t>Baseline</t>
        </is>
      </c>
      <c r="G12" s="2" t="n"/>
      <c r="H12" s="2" t="inlineStr">
        <is>
          <t>R-squared</t>
        </is>
      </c>
      <c r="I12" s="2">
        <f>RSQ(C8:C19,B8:B19)</f>
        <v/>
      </c>
      <c r="J12" s="2" t="inlineStr">
        <is>
          <t>Variance explained in simple linear relationship</t>
        </is>
      </c>
      <c r="K12" s="2">
        <f>RSQ(revenue, spend)</f>
        <v/>
      </c>
    </row>
    <row r="13">
      <c r="A13" s="2" t="n">
        <v>6</v>
      </c>
      <c r="B13" s="2" t="n">
        <v>21000</v>
      </c>
      <c r="C13" s="2" t="n">
        <v>112000</v>
      </c>
      <c r="D13" s="2" t="inlineStr">
        <is>
          <t>Search</t>
        </is>
      </c>
      <c r="E13" s="2" t="inlineStr">
        <is>
          <t>Q2</t>
        </is>
      </c>
      <c r="F13" s="2" t="inlineStr">
        <is>
          <t>Baseline</t>
        </is>
      </c>
      <c r="G13" s="2" t="n"/>
      <c r="H13" s="2" t="n"/>
      <c r="I13" s="2" t="n"/>
      <c r="J13" s="2" t="n"/>
      <c r="K13" s="2" t="n"/>
    </row>
    <row r="14">
      <c r="A14" s="2" t="n">
        <v>7</v>
      </c>
      <c r="B14" s="2" t="n">
        <v>24000</v>
      </c>
      <c r="C14" s="2" t="n">
        <v>121000</v>
      </c>
      <c r="D14" s="2" t="inlineStr">
        <is>
          <t>Social</t>
        </is>
      </c>
      <c r="E14" s="2" t="inlineStr">
        <is>
          <t>Q3</t>
        </is>
      </c>
      <c r="F14" s="2" t="inlineStr">
        <is>
          <t>Promo</t>
        </is>
      </c>
      <c r="G14" s="2" t="n"/>
      <c r="H14" s="2" t="n"/>
      <c r="I14" s="2" t="n"/>
      <c r="J14" s="2" t="n"/>
      <c r="K14" s="2" t="n"/>
    </row>
    <row r="15">
      <c r="A15" s="2" t="n">
        <v>8</v>
      </c>
      <c r="B15" s="2" t="n">
        <v>26000</v>
      </c>
      <c r="C15" s="2" t="n">
        <v>127000</v>
      </c>
      <c r="D15" s="2" t="inlineStr">
        <is>
          <t>Social</t>
        </is>
      </c>
      <c r="E15" s="2" t="inlineStr">
        <is>
          <t>Q3</t>
        </is>
      </c>
      <c r="F15" s="2" t="inlineStr">
        <is>
          <t>Promo</t>
        </is>
      </c>
      <c r="G15" s="2" t="n"/>
      <c r="H15" s="2" t="n"/>
      <c r="I15" s="2" t="n"/>
      <c r="J15" s="2" t="n"/>
      <c r="K15" s="2" t="n"/>
    </row>
    <row r="16">
      <c r="A16" s="2" t="n">
        <v>9</v>
      </c>
      <c r="B16" s="2" t="n">
        <v>29000</v>
      </c>
      <c r="C16" s="2" t="n">
        <v>136000</v>
      </c>
      <c r="D16" s="2" t="inlineStr">
        <is>
          <t>Search</t>
        </is>
      </c>
      <c r="E16" s="2" t="inlineStr">
        <is>
          <t>Q3</t>
        </is>
      </c>
      <c r="F16" s="2" t="inlineStr">
        <is>
          <t>Promo</t>
        </is>
      </c>
      <c r="G16" s="2" t="n"/>
      <c r="H16" s="2" t="n"/>
      <c r="I16" s="2" t="n"/>
      <c r="J16" s="2" t="n"/>
      <c r="K16" s="2" t="n"/>
    </row>
    <row r="17">
      <c r="A17" s="2" t="n">
        <v>10</v>
      </c>
      <c r="B17" s="2" t="n">
        <v>31000</v>
      </c>
      <c r="C17" s="2" t="n">
        <v>142000</v>
      </c>
      <c r="D17" s="2" t="inlineStr">
        <is>
          <t>Email</t>
        </is>
      </c>
      <c r="E17" s="2" t="inlineStr">
        <is>
          <t>Q4</t>
        </is>
      </c>
      <c r="F17" s="2" t="inlineStr">
        <is>
          <t>Holiday</t>
        </is>
      </c>
      <c r="G17" s="2" t="n"/>
      <c r="H17" s="2" t="n"/>
      <c r="I17" s="2" t="n"/>
      <c r="J17" s="2" t="n"/>
      <c r="K17" s="2" t="n"/>
    </row>
    <row r="18">
      <c r="A18" s="2" t="n">
        <v>11</v>
      </c>
      <c r="B18" s="2" t="n">
        <v>34000</v>
      </c>
      <c r="C18" s="2" t="n">
        <v>153000</v>
      </c>
      <c r="D18" s="2" t="inlineStr">
        <is>
          <t>Search</t>
        </is>
      </c>
      <c r="E18" s="2" t="inlineStr">
        <is>
          <t>Q4</t>
        </is>
      </c>
      <c r="F18" s="2" t="inlineStr">
        <is>
          <t>Holiday</t>
        </is>
      </c>
      <c r="G18" s="2" t="n"/>
      <c r="H18" s="2" t="n"/>
      <c r="I18" s="2" t="n"/>
      <c r="J18" s="2" t="n"/>
      <c r="K18" s="2" t="n"/>
    </row>
    <row r="19">
      <c r="A19" s="2" t="n">
        <v>12</v>
      </c>
      <c r="B19" s="2" t="n">
        <v>37000</v>
      </c>
      <c r="C19" s="2" t="n">
        <v>162000</v>
      </c>
      <c r="D19" s="2" t="inlineStr">
        <is>
          <t>Social</t>
        </is>
      </c>
      <c r="E19" s="2" t="inlineStr">
        <is>
          <t>Q4</t>
        </is>
      </c>
      <c r="F19" s="2" t="inlineStr">
        <is>
          <t>Holiday</t>
        </is>
      </c>
      <c r="G19" s="2" t="n"/>
      <c r="H19" s="2" t="n"/>
      <c r="I19" s="2" t="n"/>
      <c r="J19" s="2" t="n"/>
      <c r="K19" s="2" t="n"/>
    </row>
  </sheetData>
  <mergeCells count="3">
    <mergeCell ref="A1:J1"/>
    <mergeCell ref="B3:J3"/>
    <mergeCell ref="B4:J4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22" customWidth="1" min="3" max="3"/>
    <col width="16" customWidth="1" min="4" max="4"/>
    <col width="16" customWidth="1" min="5" max="5"/>
    <col width="18" customWidth="1" min="6" max="6"/>
    <col width="28" customWidth="1" min="7" max="7"/>
    <col width="4" customWidth="1" min="8" max="8"/>
    <col width="24" customWidth="1" min="9" max="9"/>
    <col width="18" customWidth="1" min="10" max="10"/>
    <col width="38" customWidth="1" min="11" max="11"/>
  </cols>
  <sheetData>
    <row r="1" ht="26" customHeight="1">
      <c r="A1" s="1" t="inlineStr">
        <is>
          <t>Correlation Scenario 2: Spearman Correlation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Business question</t>
        </is>
      </c>
      <c r="B3" s="2" t="inlineStr">
        <is>
          <t>Does higher customer effort align with higher churn risk?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3" t="inlineStr">
        <is>
          <t>Design note</t>
        </is>
      </c>
      <c r="B4" s="2" t="inlineStr">
        <is>
          <t>Customer effort is ordinal and churn risk is skewed/nonlinear. The skill should prefer Spearman correlation over default Pearson.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</row>
    <row r="7">
      <c r="A7" s="4" t="inlineStr">
        <is>
          <t>Customer_ID</t>
        </is>
      </c>
      <c r="B7" s="4" t="inlineStr">
        <is>
          <t>Customer_Effort_1_to_5</t>
        </is>
      </c>
      <c r="C7" s="4" t="inlineStr">
        <is>
          <t>Churn_Risk_Percent</t>
        </is>
      </c>
      <c r="D7" s="4" t="inlineStr">
        <is>
          <t>Segment</t>
        </is>
      </c>
      <c r="E7" s="4" t="inlineStr">
        <is>
          <t>Rank_Effort</t>
        </is>
      </c>
      <c r="F7" s="4" t="inlineStr">
        <is>
          <t>Rank_Churn_Risk</t>
        </is>
      </c>
      <c r="G7" s="4" t="inlineStr">
        <is>
          <t>Analyst_Note</t>
        </is>
      </c>
      <c r="H7" s="4" t="inlineStr"/>
      <c r="I7" s="4" t="inlineStr">
        <is>
          <t>Formula check</t>
        </is>
      </c>
      <c r="J7" s="4" t="inlineStr">
        <is>
          <t>Value</t>
        </is>
      </c>
      <c r="K7" s="4" t="inlineStr">
        <is>
          <t>Interpretation</t>
        </is>
      </c>
      <c r="L7" s="2" t="n"/>
    </row>
    <row r="8">
      <c r="A8" s="2" t="inlineStr">
        <is>
          <t>C001</t>
        </is>
      </c>
      <c r="B8" s="2" t="n">
        <v>1</v>
      </c>
      <c r="C8" s="2" t="n">
        <v>4</v>
      </c>
      <c r="D8" s="2" t="inlineStr">
        <is>
          <t>Enterprise</t>
        </is>
      </c>
      <c r="E8" s="2">
        <f>RANK.AVG(B8,$B$8:$B$21,1)</f>
        <v/>
      </c>
      <c r="F8" s="2">
        <f>RANK.AVG(C8,$C$8:$C$21,1)</f>
        <v/>
      </c>
      <c r="G8" s="2" t="inlineStr">
        <is>
          <t>Very low friction</t>
        </is>
      </c>
      <c r="H8" s="2" t="n"/>
      <c r="I8" s="5" t="inlineStr">
        <is>
          <t>Formula check</t>
        </is>
      </c>
      <c r="J8" s="5" t="inlineStr">
        <is>
          <t>Value</t>
        </is>
      </c>
      <c r="K8" s="5" t="inlineStr">
        <is>
          <t>Interpretation</t>
        </is>
      </c>
      <c r="L8" s="5" t="inlineStr">
        <is>
          <t>Excel formula</t>
        </is>
      </c>
    </row>
    <row r="9">
      <c r="A9" s="2" t="inlineStr">
        <is>
          <t>C002</t>
        </is>
      </c>
      <c r="B9" s="2" t="n">
        <v>1</v>
      </c>
      <c r="C9" s="2" t="n">
        <v>5</v>
      </c>
      <c r="D9" s="2" t="inlineStr">
        <is>
          <t>SMB</t>
        </is>
      </c>
      <c r="E9" s="2">
        <f>RANK.AVG(B9,$B$8:$B$21,1)</f>
        <v/>
      </c>
      <c r="F9" s="2">
        <f>RANK.AVG(C9,$C$8:$C$21,1)</f>
        <v/>
      </c>
      <c r="G9" s="2" t="inlineStr">
        <is>
          <t>Very low friction</t>
        </is>
      </c>
      <c r="H9" s="2" t="n"/>
      <c r="I9" s="2" t="inlineStr">
        <is>
          <t>n customers</t>
        </is>
      </c>
      <c r="J9" s="2">
        <f>COUNT(B8:B21)</f>
        <v/>
      </c>
      <c r="K9" s="2" t="inlineStr">
        <is>
          <t>Sample size</t>
        </is>
      </c>
      <c r="L9" s="2">
        <f>COUNT(effort scores)</f>
        <v/>
      </c>
    </row>
    <row r="10">
      <c r="A10" s="2" t="inlineStr">
        <is>
          <t>C003</t>
        </is>
      </c>
      <c r="B10" s="2" t="n">
        <v>2</v>
      </c>
      <c r="C10" s="2" t="n">
        <v>9</v>
      </c>
      <c r="D10" s="2" t="inlineStr">
        <is>
          <t>SMB</t>
        </is>
      </c>
      <c r="E10" s="2">
        <f>RANK.AVG(B10,$B$8:$B$21,1)</f>
        <v/>
      </c>
      <c r="F10" s="2">
        <f>RANK.AVG(C10,$C$8:$C$21,1)</f>
        <v/>
      </c>
      <c r="G10" s="2" t="inlineStr">
        <is>
          <t>Low friction</t>
        </is>
      </c>
      <c r="H10" s="2" t="n"/>
      <c r="I10" s="2" t="inlineStr">
        <is>
          <t>Pearson r</t>
        </is>
      </c>
      <c r="J10" s="2">
        <f>CORREL(B8:B21,C8:C21)</f>
        <v/>
      </c>
      <c r="K10" s="2" t="inlineStr">
        <is>
          <t>Available, but not preferred</t>
        </is>
      </c>
      <c r="L10" s="2">
        <f>CORREL(raw ordinal, risk)</f>
        <v/>
      </c>
    </row>
    <row r="11">
      <c r="A11" s="2" t="inlineStr">
        <is>
          <t>C004</t>
        </is>
      </c>
      <c r="B11" s="2" t="n">
        <v>2</v>
      </c>
      <c r="C11" s="2" t="n">
        <v>11</v>
      </c>
      <c r="D11" s="2" t="inlineStr">
        <is>
          <t>Consumer</t>
        </is>
      </c>
      <c r="E11" s="2">
        <f>RANK.AVG(B11,$B$8:$B$21,1)</f>
        <v/>
      </c>
      <c r="F11" s="2">
        <f>RANK.AVG(C11,$C$8:$C$21,1)</f>
        <v/>
      </c>
      <c r="G11" s="2" t="inlineStr">
        <is>
          <t>Low friction</t>
        </is>
      </c>
      <c r="H11" s="2" t="n"/>
      <c r="I11" s="2" t="inlineStr">
        <is>
          <t>Spearman rho</t>
        </is>
      </c>
      <c r="J11" s="2">
        <f>CORREL(E8:E21,F8:F21)</f>
        <v/>
      </c>
      <c r="K11" s="2" t="inlineStr">
        <is>
          <t>Expected: strong positive monotonic association</t>
        </is>
      </c>
      <c r="L11" s="2">
        <f>CORREL(rank effort, rank risk)</f>
        <v/>
      </c>
    </row>
    <row r="12">
      <c r="A12" s="2" t="inlineStr">
        <is>
          <t>C005</t>
        </is>
      </c>
      <c r="B12" s="2" t="n">
        <v>2</v>
      </c>
      <c r="C12" s="2" t="n">
        <v>13</v>
      </c>
      <c r="D12" s="2" t="inlineStr">
        <is>
          <t>SMB</t>
        </is>
      </c>
      <c r="E12" s="2">
        <f>RANK.AVG(B12,$B$8:$B$21,1)</f>
        <v/>
      </c>
      <c r="F12" s="2">
        <f>RANK.AVG(C12,$C$8:$C$21,1)</f>
        <v/>
      </c>
      <c r="G12" s="2" t="inlineStr">
        <is>
          <t>Low friction</t>
        </is>
      </c>
      <c r="H12" s="2" t="n"/>
      <c r="I12" s="2" t="n"/>
      <c r="J12" s="2" t="n"/>
      <c r="K12" s="2" t="n"/>
      <c r="L12" s="2" t="n"/>
    </row>
    <row r="13">
      <c r="A13" s="2" t="inlineStr">
        <is>
          <t>C006</t>
        </is>
      </c>
      <c r="B13" s="2" t="n">
        <v>3</v>
      </c>
      <c r="C13" s="2" t="n">
        <v>19</v>
      </c>
      <c r="D13" s="2" t="inlineStr">
        <is>
          <t>Enterprise</t>
        </is>
      </c>
      <c r="E13" s="2">
        <f>RANK.AVG(B13,$B$8:$B$21,1)</f>
        <v/>
      </c>
      <c r="F13" s="2">
        <f>RANK.AVG(C13,$C$8:$C$21,1)</f>
        <v/>
      </c>
      <c r="G13" s="2" t="inlineStr">
        <is>
          <t>Moderate friction</t>
        </is>
      </c>
      <c r="H13" s="2" t="n"/>
      <c r="I13" s="2" t="n"/>
      <c r="J13" s="2" t="n"/>
      <c r="K13" s="2" t="n"/>
      <c r="L13" s="2" t="n"/>
    </row>
    <row r="14">
      <c r="A14" s="2" t="inlineStr">
        <is>
          <t>C007</t>
        </is>
      </c>
      <c r="B14" s="2" t="n">
        <v>3</v>
      </c>
      <c r="C14" s="2" t="n">
        <v>23</v>
      </c>
      <c r="D14" s="2" t="inlineStr">
        <is>
          <t>SMB</t>
        </is>
      </c>
      <c r="E14" s="2">
        <f>RANK.AVG(B14,$B$8:$B$21,1)</f>
        <v/>
      </c>
      <c r="F14" s="2">
        <f>RANK.AVG(C14,$C$8:$C$21,1)</f>
        <v/>
      </c>
      <c r="G14" s="2" t="inlineStr">
        <is>
          <t>Moderate friction</t>
        </is>
      </c>
      <c r="H14" s="2" t="n"/>
      <c r="I14" s="2" t="n"/>
      <c r="J14" s="2" t="n"/>
      <c r="K14" s="2" t="n"/>
      <c r="L14" s="2" t="n"/>
    </row>
    <row r="15">
      <c r="A15" s="2" t="inlineStr">
        <is>
          <t>C008</t>
        </is>
      </c>
      <c r="B15" s="2" t="n">
        <v>3</v>
      </c>
      <c r="C15" s="2" t="n">
        <v>27</v>
      </c>
      <c r="D15" s="2" t="inlineStr">
        <is>
          <t>Consumer</t>
        </is>
      </c>
      <c r="E15" s="2">
        <f>RANK.AVG(B15,$B$8:$B$21,1)</f>
        <v/>
      </c>
      <c r="F15" s="2">
        <f>RANK.AVG(C15,$C$8:$C$21,1)</f>
        <v/>
      </c>
      <c r="G15" s="2" t="inlineStr">
        <is>
          <t>Moderate friction</t>
        </is>
      </c>
      <c r="H15" s="2" t="n"/>
      <c r="I15" s="2" t="n"/>
      <c r="J15" s="2" t="n"/>
      <c r="K15" s="2" t="n"/>
      <c r="L15" s="2" t="n"/>
    </row>
    <row r="16">
      <c r="A16" s="2" t="inlineStr">
        <is>
          <t>C009</t>
        </is>
      </c>
      <c r="B16" s="2" t="n">
        <v>4</v>
      </c>
      <c r="C16" s="2" t="n">
        <v>41</v>
      </c>
      <c r="D16" s="2" t="inlineStr">
        <is>
          <t>SMB</t>
        </is>
      </c>
      <c r="E16" s="2">
        <f>RANK.AVG(B16,$B$8:$B$21,1)</f>
        <v/>
      </c>
      <c r="F16" s="2">
        <f>RANK.AVG(C16,$C$8:$C$21,1)</f>
        <v/>
      </c>
      <c r="G16" s="2" t="inlineStr">
        <is>
          <t>High friction</t>
        </is>
      </c>
      <c r="H16" s="2" t="n"/>
      <c r="I16" s="2" t="n"/>
      <c r="J16" s="2" t="n"/>
      <c r="K16" s="2" t="n"/>
      <c r="L16" s="2" t="n"/>
    </row>
    <row r="17">
      <c r="A17" s="2" t="inlineStr">
        <is>
          <t>C010</t>
        </is>
      </c>
      <c r="B17" s="2" t="n">
        <v>4</v>
      </c>
      <c r="C17" s="2" t="n">
        <v>46</v>
      </c>
      <c r="D17" s="2" t="inlineStr">
        <is>
          <t>Consumer</t>
        </is>
      </c>
      <c r="E17" s="2">
        <f>RANK.AVG(B17,$B$8:$B$21,1)</f>
        <v/>
      </c>
      <c r="F17" s="2">
        <f>RANK.AVG(C17,$C$8:$C$21,1)</f>
        <v/>
      </c>
      <c r="G17" s="2" t="inlineStr">
        <is>
          <t>High friction</t>
        </is>
      </c>
      <c r="H17" s="2" t="n"/>
      <c r="I17" s="2" t="n"/>
      <c r="J17" s="2" t="n"/>
      <c r="K17" s="2" t="n"/>
      <c r="L17" s="2" t="n"/>
    </row>
    <row r="18">
      <c r="A18" s="2" t="inlineStr">
        <is>
          <t>C011</t>
        </is>
      </c>
      <c r="B18" s="2" t="n">
        <v>4</v>
      </c>
      <c r="C18" s="2" t="n">
        <v>55</v>
      </c>
      <c r="D18" s="2" t="inlineStr">
        <is>
          <t>Enterprise</t>
        </is>
      </c>
      <c r="E18" s="2">
        <f>RANK.AVG(B18,$B$8:$B$21,1)</f>
        <v/>
      </c>
      <c r="F18" s="2">
        <f>RANK.AVG(C18,$C$8:$C$21,1)</f>
        <v/>
      </c>
      <c r="G18" s="2" t="inlineStr">
        <is>
          <t>High friction</t>
        </is>
      </c>
      <c r="H18" s="2" t="n"/>
      <c r="I18" s="2" t="n"/>
      <c r="J18" s="2" t="n"/>
      <c r="K18" s="2" t="n"/>
      <c r="L18" s="2" t="n"/>
    </row>
    <row r="19">
      <c r="A19" s="2" t="inlineStr">
        <is>
          <t>C012</t>
        </is>
      </c>
      <c r="B19" s="2" t="n">
        <v>5</v>
      </c>
      <c r="C19" s="2" t="n">
        <v>68</v>
      </c>
      <c r="D19" s="2" t="inlineStr">
        <is>
          <t>SMB</t>
        </is>
      </c>
      <c r="E19" s="2">
        <f>RANK.AVG(B19,$B$8:$B$21,1)</f>
        <v/>
      </c>
      <c r="F19" s="2">
        <f>RANK.AVG(C19,$C$8:$C$21,1)</f>
        <v/>
      </c>
      <c r="G19" s="2" t="inlineStr">
        <is>
          <t>Very high friction</t>
        </is>
      </c>
      <c r="H19" s="2" t="n"/>
      <c r="I19" s="2" t="n"/>
      <c r="J19" s="2" t="n"/>
      <c r="K19" s="2" t="n"/>
      <c r="L19" s="2" t="n"/>
    </row>
    <row r="20">
      <c r="A20" s="2" t="inlineStr">
        <is>
          <t>C013</t>
        </is>
      </c>
      <c r="B20" s="2" t="n">
        <v>5</v>
      </c>
      <c r="C20" s="2" t="n">
        <v>74</v>
      </c>
      <c r="D20" s="2" t="inlineStr">
        <is>
          <t>Consumer</t>
        </is>
      </c>
      <c r="E20" s="2">
        <f>RANK.AVG(B20,$B$8:$B$21,1)</f>
        <v/>
      </c>
      <c r="F20" s="2">
        <f>RANK.AVG(C20,$C$8:$C$21,1)</f>
        <v/>
      </c>
      <c r="G20" s="2" t="inlineStr">
        <is>
          <t>Very high friction</t>
        </is>
      </c>
      <c r="H20" s="2" t="n"/>
      <c r="I20" s="2" t="n"/>
      <c r="J20" s="2" t="n"/>
      <c r="K20" s="2" t="n"/>
      <c r="L20" s="2" t="n"/>
    </row>
    <row r="21">
      <c r="A21" s="2" t="inlineStr">
        <is>
          <t>C014</t>
        </is>
      </c>
      <c r="B21" s="2" t="n">
        <v>5</v>
      </c>
      <c r="C21" s="2" t="n">
        <v>82</v>
      </c>
      <c r="D21" s="2" t="inlineStr">
        <is>
          <t>SMB</t>
        </is>
      </c>
      <c r="E21" s="2">
        <f>RANK.AVG(B21,$B$8:$B$21,1)</f>
        <v/>
      </c>
      <c r="F21" s="2">
        <f>RANK.AVG(C21,$C$8:$C$21,1)</f>
        <v/>
      </c>
      <c r="G21" s="2" t="inlineStr">
        <is>
          <t>Very high friction</t>
        </is>
      </c>
      <c r="H21" s="2" t="n"/>
      <c r="I21" s="2" t="n"/>
      <c r="J21" s="2" t="n"/>
      <c r="K21" s="2" t="n"/>
      <c r="L21" s="2" t="n"/>
    </row>
  </sheetData>
  <mergeCells count="3">
    <mergeCell ref="B4:K4"/>
    <mergeCell ref="A1:K1"/>
    <mergeCell ref="B3:K3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16" customWidth="1" min="4" max="4"/>
    <col width="16" customWidth="1" min="5" max="5"/>
    <col width="24" customWidth="1" min="6" max="6"/>
    <col width="4" customWidth="1" min="7" max="7"/>
    <col width="28" customWidth="1" min="8" max="8"/>
    <col width="18" customWidth="1" min="9" max="9"/>
    <col width="38" customWidth="1" min="10" max="10"/>
  </cols>
  <sheetData>
    <row r="1" ht="26" customHeight="1">
      <c r="A1" s="1" t="inlineStr">
        <is>
          <t>Correlation Scenario 3: Binary Variable vs Numeric Outcome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Business question</t>
        </is>
      </c>
      <c r="B3" s="2" t="inlineStr">
        <is>
          <t>Are premium-support customers associated with higher monthly revenue?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Design note</t>
        </is>
      </c>
      <c r="B4" s="2" t="inlineStr">
        <is>
          <t>Premium_Support_Flag is encoded 0/1. A point-biserial correlation can be computed with CORREL, but the skill should explain that a group comparison may be clearer.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4" t="inlineStr">
        <is>
          <t>Customer_ID</t>
        </is>
      </c>
      <c r="B7" s="4" t="inlineStr">
        <is>
          <t>Premium_Support_Flag</t>
        </is>
      </c>
      <c r="C7" s="4" t="inlineStr">
        <is>
          <t>Monthly_Revenue_USD</t>
        </is>
      </c>
      <c r="D7" s="4" t="inlineStr">
        <is>
          <t>Plan_Tier</t>
        </is>
      </c>
      <c r="E7" s="4" t="inlineStr">
        <is>
          <t>Company_Size</t>
        </is>
      </c>
      <c r="F7" s="4" t="inlineStr">
        <is>
          <t>Analyst_Note</t>
        </is>
      </c>
      <c r="G7" s="4" t="inlineStr"/>
      <c r="H7" s="4" t="inlineStr">
        <is>
          <t>Formula check</t>
        </is>
      </c>
      <c r="I7" s="4" t="inlineStr">
        <is>
          <t>Value</t>
        </is>
      </c>
      <c r="J7" s="4" t="inlineStr">
        <is>
          <t>Interpretation</t>
        </is>
      </c>
      <c r="K7" s="2" t="n"/>
    </row>
    <row r="8">
      <c r="A8" s="2" t="inlineStr">
        <is>
          <t>C001</t>
        </is>
      </c>
      <c r="B8" s="2" t="n">
        <v>0</v>
      </c>
      <c r="C8" s="2" t="n">
        <v>850</v>
      </c>
      <c r="D8" s="2" t="inlineStr">
        <is>
          <t>Standard</t>
        </is>
      </c>
      <c r="E8" s="2" t="inlineStr">
        <is>
          <t>Small</t>
        </is>
      </c>
      <c r="F8" s="2" t="inlineStr">
        <is>
          <t>No premium support</t>
        </is>
      </c>
      <c r="G8" s="2" t="n"/>
      <c r="H8" s="5" t="inlineStr">
        <is>
          <t>Formula check</t>
        </is>
      </c>
      <c r="I8" s="5" t="inlineStr">
        <is>
          <t>Value</t>
        </is>
      </c>
      <c r="J8" s="5" t="inlineStr">
        <is>
          <t>Interpretation</t>
        </is>
      </c>
      <c r="K8" s="5" t="inlineStr">
        <is>
          <t>Excel formula</t>
        </is>
      </c>
    </row>
    <row r="9">
      <c r="A9" s="2" t="inlineStr">
        <is>
          <t>C002</t>
        </is>
      </c>
      <c r="B9" s="2" t="n">
        <v>0</v>
      </c>
      <c r="C9" s="2" t="n">
        <v>910</v>
      </c>
      <c r="D9" s="2" t="inlineStr">
        <is>
          <t>Standard</t>
        </is>
      </c>
      <c r="E9" s="2" t="inlineStr">
        <is>
          <t>Small</t>
        </is>
      </c>
      <c r="F9" s="2" t="inlineStr">
        <is>
          <t>No premium support</t>
        </is>
      </c>
      <c r="G9" s="2" t="n"/>
      <c r="H9" s="2" t="inlineStr">
        <is>
          <t>Point-biserial via CORREL</t>
        </is>
      </c>
      <c r="I9" s="2">
        <f>CORREL(B8:B19,C8:C19)</f>
        <v/>
      </c>
      <c r="J9" s="2" t="inlineStr">
        <is>
          <t>Association between 0/1 flag and revenue</t>
        </is>
      </c>
      <c r="K9" s="2">
        <f>CORREL(flag, revenue)</f>
        <v/>
      </c>
    </row>
    <row r="10">
      <c r="A10" s="2" t="inlineStr">
        <is>
          <t>C003</t>
        </is>
      </c>
      <c r="B10" s="2" t="n">
        <v>0</v>
      </c>
      <c r="C10" s="2" t="n">
        <v>1020</v>
      </c>
      <c r="D10" s="2" t="inlineStr">
        <is>
          <t>Standard</t>
        </is>
      </c>
      <c r="E10" s="2" t="inlineStr">
        <is>
          <t>Medium</t>
        </is>
      </c>
      <c r="F10" s="2" t="inlineStr">
        <is>
          <t>No premium support</t>
        </is>
      </c>
      <c r="G10" s="2" t="n"/>
      <c r="H10" s="2" t="inlineStr">
        <is>
          <t>Mean revenue, no premium</t>
        </is>
      </c>
      <c r="I10" s="2">
        <f>AVERAGEIF(B8:B19,0,C8:C19)</f>
        <v/>
      </c>
      <c r="J10" s="2" t="inlineStr">
        <is>
          <t>Group mean comparison</t>
        </is>
      </c>
      <c r="K10" s="2">
        <f>AVERAGEIF(flag,0,revenue)</f>
        <v/>
      </c>
    </row>
    <row r="11">
      <c r="A11" s="2" t="inlineStr">
        <is>
          <t>C004</t>
        </is>
      </c>
      <c r="B11" s="2" t="n">
        <v>0</v>
      </c>
      <c r="C11" s="2" t="n">
        <v>980</v>
      </c>
      <c r="D11" s="2" t="inlineStr">
        <is>
          <t>Standard</t>
        </is>
      </c>
      <c r="E11" s="2" t="inlineStr">
        <is>
          <t>Small</t>
        </is>
      </c>
      <c r="F11" s="2" t="inlineStr">
        <is>
          <t>No premium support</t>
        </is>
      </c>
      <c r="G11" s="2" t="n"/>
      <c r="H11" s="2" t="inlineStr">
        <is>
          <t>Mean revenue, premium</t>
        </is>
      </c>
      <c r="I11" s="2">
        <f>AVERAGEIF(B8:B19,1,C8:C19)</f>
        <v/>
      </c>
      <c r="J11" s="2" t="inlineStr">
        <is>
          <t>Group mean comparison</t>
        </is>
      </c>
      <c r="K11" s="2">
        <f>AVERAGEIF(flag,1,revenue)</f>
        <v/>
      </c>
    </row>
    <row r="12">
      <c r="A12" s="2" t="inlineStr">
        <is>
          <t>C005</t>
        </is>
      </c>
      <c r="B12" s="2" t="n">
        <v>0</v>
      </c>
      <c r="C12" s="2" t="n">
        <v>1150</v>
      </c>
      <c r="D12" s="2" t="inlineStr">
        <is>
          <t>Standard</t>
        </is>
      </c>
      <c r="E12" s="2" t="inlineStr">
        <is>
          <t>Medium</t>
        </is>
      </c>
      <c r="F12" s="2" t="inlineStr">
        <is>
          <t>No premium support</t>
        </is>
      </c>
      <c r="G12" s="2" t="n"/>
      <c r="H12" s="2" t="inlineStr">
        <is>
          <t>Difference</t>
        </is>
      </c>
      <c r="I12" s="2">
        <f>I10-I9</f>
        <v/>
      </c>
      <c r="J12" s="2" t="inlineStr">
        <is>
          <t>Premium minus non-premium</t>
        </is>
      </c>
      <c r="K12" s="2">
        <f>mean premium - mean standard</f>
        <v/>
      </c>
    </row>
    <row r="13">
      <c r="A13" s="2" t="inlineStr">
        <is>
          <t>C006</t>
        </is>
      </c>
      <c r="B13" s="2" t="n">
        <v>0</v>
      </c>
      <c r="C13" s="2" t="n">
        <v>1200</v>
      </c>
      <c r="D13" s="2" t="inlineStr">
        <is>
          <t>Standard</t>
        </is>
      </c>
      <c r="E13" s="2" t="inlineStr">
        <is>
          <t>Medium</t>
        </is>
      </c>
      <c r="F13" s="2" t="inlineStr">
        <is>
          <t>No premium support</t>
        </is>
      </c>
      <c r="G13" s="2" t="n"/>
      <c r="H13" s="2" t="n"/>
      <c r="I13" s="2" t="n"/>
      <c r="J13" s="2" t="n"/>
      <c r="K13" s="2" t="n"/>
    </row>
    <row r="14">
      <c r="A14" s="2" t="inlineStr">
        <is>
          <t>C007</t>
        </is>
      </c>
      <c r="B14" s="2" t="n">
        <v>1</v>
      </c>
      <c r="C14" s="2" t="n">
        <v>2100</v>
      </c>
      <c r="D14" s="2" t="inlineStr">
        <is>
          <t>Premium</t>
        </is>
      </c>
      <c r="E14" s="2" t="inlineStr">
        <is>
          <t>Medium</t>
        </is>
      </c>
      <c r="F14" s="2" t="inlineStr">
        <is>
          <t>Premium support</t>
        </is>
      </c>
      <c r="G14" s="2" t="n"/>
      <c r="H14" s="2" t="n"/>
      <c r="I14" s="2" t="n"/>
      <c r="J14" s="2" t="n"/>
      <c r="K14" s="2" t="n"/>
    </row>
    <row r="15">
      <c r="A15" s="2" t="inlineStr">
        <is>
          <t>C008</t>
        </is>
      </c>
      <c r="B15" s="2" t="n">
        <v>1</v>
      </c>
      <c r="C15" s="2" t="n">
        <v>2400</v>
      </c>
      <c r="D15" s="2" t="inlineStr">
        <is>
          <t>Premium</t>
        </is>
      </c>
      <c r="E15" s="2" t="inlineStr">
        <is>
          <t>Medium</t>
        </is>
      </c>
      <c r="F15" s="2" t="inlineStr">
        <is>
          <t>Premium support</t>
        </is>
      </c>
      <c r="G15" s="2" t="n"/>
      <c r="H15" s="2" t="n"/>
      <c r="I15" s="2" t="n"/>
      <c r="J15" s="2" t="n"/>
      <c r="K15" s="2" t="n"/>
    </row>
    <row r="16">
      <c r="A16" s="2" t="inlineStr">
        <is>
          <t>C009</t>
        </is>
      </c>
      <c r="B16" s="2" t="n">
        <v>1</v>
      </c>
      <c r="C16" s="2" t="n">
        <v>3100</v>
      </c>
      <c r="D16" s="2" t="inlineStr">
        <is>
          <t>Premium</t>
        </is>
      </c>
      <c r="E16" s="2" t="inlineStr">
        <is>
          <t>Large</t>
        </is>
      </c>
      <c r="F16" s="2" t="inlineStr">
        <is>
          <t>Premium support</t>
        </is>
      </c>
      <c r="G16" s="2" t="n"/>
      <c r="H16" s="2" t="n"/>
      <c r="I16" s="2" t="n"/>
      <c r="J16" s="2" t="n"/>
      <c r="K16" s="2" t="n"/>
    </row>
    <row r="17">
      <c r="A17" s="2" t="inlineStr">
        <is>
          <t>C010</t>
        </is>
      </c>
      <c r="B17" s="2" t="n">
        <v>1</v>
      </c>
      <c r="C17" s="2" t="n">
        <v>3350</v>
      </c>
      <c r="D17" s="2" t="inlineStr">
        <is>
          <t>Premium</t>
        </is>
      </c>
      <c r="E17" s="2" t="inlineStr">
        <is>
          <t>Large</t>
        </is>
      </c>
      <c r="F17" s="2" t="inlineStr">
        <is>
          <t>Premium support</t>
        </is>
      </c>
      <c r="G17" s="2" t="n"/>
      <c r="H17" s="2" t="n"/>
      <c r="I17" s="2" t="n"/>
      <c r="J17" s="2" t="n"/>
      <c r="K17" s="2" t="n"/>
    </row>
    <row r="18">
      <c r="A18" s="2" t="inlineStr">
        <is>
          <t>C011</t>
        </is>
      </c>
      <c r="B18" s="2" t="n">
        <v>1</v>
      </c>
      <c r="C18" s="2" t="n">
        <v>4200</v>
      </c>
      <c r="D18" s="2" t="inlineStr">
        <is>
          <t>Enterprise</t>
        </is>
      </c>
      <c r="E18" s="2" t="inlineStr">
        <is>
          <t>Large</t>
        </is>
      </c>
      <c r="F18" s="2" t="inlineStr">
        <is>
          <t>Premium support</t>
        </is>
      </c>
      <c r="G18" s="2" t="n"/>
      <c r="H18" s="2" t="n"/>
      <c r="I18" s="2" t="n"/>
      <c r="J18" s="2" t="n"/>
      <c r="K18" s="2" t="n"/>
    </row>
    <row r="19">
      <c r="A19" s="2" t="inlineStr">
        <is>
          <t>C012</t>
        </is>
      </c>
      <c r="B19" s="2" t="n">
        <v>1</v>
      </c>
      <c r="C19" s="2" t="n">
        <v>4600</v>
      </c>
      <c r="D19" s="2" t="inlineStr">
        <is>
          <t>Enterprise</t>
        </is>
      </c>
      <c r="E19" s="2" t="inlineStr">
        <is>
          <t>Large</t>
        </is>
      </c>
      <c r="F19" s="2" t="inlineStr">
        <is>
          <t>Premium support</t>
        </is>
      </c>
      <c r="G19" s="2" t="n"/>
      <c r="H19" s="2" t="n"/>
      <c r="I19" s="2" t="n"/>
      <c r="J19" s="2" t="n"/>
      <c r="K19" s="2" t="n"/>
    </row>
  </sheetData>
  <mergeCells count="3">
    <mergeCell ref="A1:J1"/>
    <mergeCell ref="B3:J3"/>
    <mergeCell ref="B4:J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4" customWidth="1" min="6" max="6"/>
    <col width="28" customWidth="1" min="7" max="7"/>
    <col width="18" customWidth="1" min="8" max="8"/>
    <col width="42" customWidth="1" min="9" max="9"/>
  </cols>
  <sheetData>
    <row r="1" ht="26" customHeight="1">
      <c r="A1" s="1" t="inlineStr">
        <is>
          <t>Correlation Scenario 4: Categorical Variables Are Not Correlation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Business question</t>
        </is>
      </c>
      <c r="B3" s="2" t="inlineStr">
        <is>
          <t>Are complaint types associated with product category?</t>
        </is>
      </c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3" t="inlineStr">
        <is>
          <t>Design note</t>
        </is>
      </c>
      <c r="B4" s="2" t="inlineStr">
        <is>
          <t>Both variables are categorical. The skill should reject a standard correlation framing and use a chi-squared test of independence.</t>
        </is>
      </c>
      <c r="C4" s="2" t="n"/>
      <c r="D4" s="2" t="n"/>
      <c r="E4" s="2" t="n"/>
      <c r="F4" s="2" t="n"/>
      <c r="G4" s="2" t="n"/>
      <c r="H4" s="2" t="n"/>
      <c r="I4" s="2" t="n"/>
      <c r="J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</row>
    <row r="7">
      <c r="A7" s="4" t="inlineStr">
        <is>
          <t>Actual counts</t>
        </is>
      </c>
      <c r="B7" s="4" t="inlineStr">
        <is>
          <t>Delivery</t>
        </is>
      </c>
      <c r="C7" s="4" t="inlineStr">
        <is>
          <t>Quality</t>
        </is>
      </c>
      <c r="D7" s="4" t="inlineStr">
        <is>
          <t>Billing</t>
        </is>
      </c>
      <c r="E7" s="4" t="inlineStr">
        <is>
          <t>Row Total</t>
        </is>
      </c>
      <c r="F7" s="4" t="inlineStr"/>
      <c r="G7" s="4" t="inlineStr">
        <is>
          <t>Formula check</t>
        </is>
      </c>
      <c r="H7" s="4" t="inlineStr">
        <is>
          <t>Value</t>
        </is>
      </c>
      <c r="I7" s="4" t="inlineStr">
        <is>
          <t>Interpretation</t>
        </is>
      </c>
      <c r="J7" s="2" t="n"/>
    </row>
    <row r="8">
      <c r="A8" s="2" t="inlineStr">
        <is>
          <t>Chemicals</t>
        </is>
      </c>
      <c r="B8" s="2" t="n">
        <v>18</v>
      </c>
      <c r="C8" s="2" t="n">
        <v>42</v>
      </c>
      <c r="D8" s="2" t="n">
        <v>10</v>
      </c>
      <c r="E8" s="2">
        <f>SUM(B8:D8)</f>
        <v/>
      </c>
      <c r="F8" s="2" t="n"/>
      <c r="G8" s="5" t="inlineStr">
        <is>
          <t>Formula check</t>
        </is>
      </c>
      <c r="H8" s="5" t="inlineStr">
        <is>
          <t>Value</t>
        </is>
      </c>
      <c r="I8" s="5" t="inlineStr">
        <is>
          <t>Interpretation</t>
        </is>
      </c>
      <c r="J8" s="5" t="inlineStr">
        <is>
          <t>Excel formula</t>
        </is>
      </c>
    </row>
    <row r="9">
      <c r="A9" s="2" t="inlineStr">
        <is>
          <t>Physical</t>
        </is>
      </c>
      <c r="B9" s="2" t="n">
        <v>35</v>
      </c>
      <c r="C9" s="2" t="n">
        <v>20</v>
      </c>
      <c r="D9" s="2" t="n">
        <v>15</v>
      </c>
      <c r="E9" s="2">
        <f>SUM(B9:D9)</f>
        <v/>
      </c>
      <c r="F9" s="2" t="n"/>
      <c r="G9" s="2" t="inlineStr">
        <is>
          <t>Chi-squared p-value</t>
        </is>
      </c>
      <c r="H9" s="2">
        <f>CHISQ.TEST(B8:D10,B15:D17)</f>
        <v/>
      </c>
      <c r="I9" s="2" t="inlineStr">
        <is>
          <t>Expected: use chi-squared, not correlation</t>
        </is>
      </c>
      <c r="J9" s="2">
        <f>CHISQ.TEST(actual, expected)</f>
        <v/>
      </c>
    </row>
    <row r="10">
      <c r="A10" s="2" t="inlineStr">
        <is>
          <t>Digital</t>
        </is>
      </c>
      <c r="B10" s="2" t="n">
        <v>22</v>
      </c>
      <c r="C10" s="2" t="n">
        <v>18</v>
      </c>
      <c r="D10" s="2" t="n">
        <v>30</v>
      </c>
      <c r="E10" s="2">
        <f>SUM(B10:D10)</f>
        <v/>
      </c>
      <c r="F10" s="2" t="n"/>
      <c r="G10" s="2" t="inlineStr">
        <is>
          <t>All expected counts &gt;= 5?</t>
        </is>
      </c>
      <c r="H10" s="2">
        <f>IF(MIN(B15:D17)&gt;=5,"Yes","No")</f>
        <v/>
      </c>
      <c r="I10" s="2" t="inlineStr">
        <is>
          <t>Assumption check</t>
        </is>
      </c>
      <c r="J10" s="2">
        <f>MIN(expected)&gt;=5</f>
        <v/>
      </c>
    </row>
    <row r="11">
      <c r="A11" s="2" t="inlineStr">
        <is>
          <t>Column Total</t>
        </is>
      </c>
      <c r="B11" s="2">
        <f>SUM(B8:B10)</f>
        <v/>
      </c>
      <c r="C11" s="2">
        <f>SUM(C8:C10)</f>
        <v/>
      </c>
      <c r="D11" s="2">
        <f>SUM(D8:D10)</f>
        <v/>
      </c>
      <c r="E11" s="2">
        <f>SUM(E8:E10)</f>
        <v/>
      </c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4" t="inlineStr">
        <is>
          <t>Expected counts</t>
        </is>
      </c>
      <c r="B14" s="4" t="inlineStr">
        <is>
          <t>Delivery</t>
        </is>
      </c>
      <c r="C14" s="4" t="inlineStr">
        <is>
          <t>Quality</t>
        </is>
      </c>
      <c r="D14" s="4" t="inlineStr">
        <is>
          <t>Billing</t>
        </is>
      </c>
      <c r="E14" s="4" t="inlineStr">
        <is>
          <t>Row Total</t>
        </is>
      </c>
      <c r="F14" s="2" t="n"/>
      <c r="G14" s="2" t="n"/>
      <c r="H14" s="2" t="n"/>
      <c r="I14" s="2" t="n"/>
      <c r="J14" s="2" t="n"/>
    </row>
    <row r="15">
      <c r="A15" s="2" t="inlineStr">
        <is>
          <t>Chemicals</t>
        </is>
      </c>
      <c r="B15" s="2">
        <f>$B$11*$E8/$E$11</f>
        <v/>
      </c>
      <c r="C15" s="2">
        <f>$C$11*$E8/$E$11</f>
        <v/>
      </c>
      <c r="D15" s="2">
        <f>$D$11*$E8/$E$11</f>
        <v/>
      </c>
      <c r="E15" s="2">
        <f>SUM(B15:D15)</f>
        <v/>
      </c>
      <c r="F15" s="2" t="n"/>
      <c r="G15" s="2" t="n"/>
      <c r="H15" s="2" t="n"/>
      <c r="I15" s="2" t="n"/>
      <c r="J15" s="2" t="n"/>
    </row>
    <row r="16">
      <c r="A16" s="2" t="inlineStr">
        <is>
          <t>Physical</t>
        </is>
      </c>
      <c r="B16" s="2">
        <f>$B$11*$E9/$E$11</f>
        <v/>
      </c>
      <c r="C16" s="2">
        <f>$C$11*$E9/$E$11</f>
        <v/>
      </c>
      <c r="D16" s="2">
        <f>$D$11*$E9/$E$11</f>
        <v/>
      </c>
      <c r="E16" s="2">
        <f>SUM(B16:D16)</f>
        <v/>
      </c>
      <c r="F16" s="2" t="n"/>
      <c r="G16" s="2" t="n"/>
      <c r="H16" s="2" t="n"/>
      <c r="I16" s="2" t="n"/>
      <c r="J16" s="2" t="n"/>
    </row>
    <row r="17">
      <c r="A17" s="2" t="inlineStr">
        <is>
          <t>Digital</t>
        </is>
      </c>
      <c r="B17" s="2">
        <f>$B$11*$E10/$E$11</f>
        <v/>
      </c>
      <c r="C17" s="2">
        <f>$C$11*$E10/$E$11</f>
        <v/>
      </c>
      <c r="D17" s="2">
        <f>$D$11*$E10/$E$11</f>
        <v/>
      </c>
      <c r="E17" s="2">
        <f>SUM(B17:D17)</f>
        <v/>
      </c>
      <c r="F17" s="2" t="n"/>
      <c r="G17" s="2" t="n"/>
      <c r="H17" s="2" t="n"/>
      <c r="I17" s="2" t="n"/>
      <c r="J17" s="2" t="n"/>
    </row>
  </sheetData>
  <mergeCells count="3">
    <mergeCell ref="A1:I1"/>
    <mergeCell ref="B3:I3"/>
    <mergeCell ref="B4:I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14" customWidth="1" min="4" max="4"/>
    <col width="14" customWidth="1" min="5" max="5"/>
    <col width="22" customWidth="1" min="6" max="6"/>
    <col width="4" customWidth="1" min="7" max="7"/>
    <col width="26" customWidth="1" min="8" max="8"/>
    <col width="18" customWidth="1" min="9" max="9"/>
    <col width="42" customWidth="1" min="10" max="10"/>
  </cols>
  <sheetData>
    <row r="1" ht="26" customHeight="1">
      <c r="A1" s="1" t="inlineStr">
        <is>
          <t>Correlation Scenario 5: Prediction Requires Regression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Business question</t>
        </is>
      </c>
      <c r="B3" s="2" t="inlineStr">
        <is>
          <t>Can advertising spend be used to predict sales revenue?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3" t="inlineStr">
        <is>
          <t>Design note</t>
        </is>
      </c>
      <c r="B4" s="2" t="inlineStr">
        <is>
          <t>Correlation is useful as a first diagnostic, but prediction requires regression because the business needs a slope, intercept, and expected revenue estimate.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4" t="inlineStr">
        <is>
          <t>Month_N</t>
        </is>
      </c>
      <c r="B7" s="4" t="inlineStr">
        <is>
          <t>Ad_Spend_USD</t>
        </is>
      </c>
      <c r="C7" s="4" t="inlineStr">
        <is>
          <t>Sales_Revenue_USD</t>
        </is>
      </c>
      <c r="D7" s="4" t="inlineStr">
        <is>
          <t>Holiday_Flag</t>
        </is>
      </c>
      <c r="E7" s="4" t="inlineStr">
        <is>
          <t>Promo_Flag</t>
        </is>
      </c>
      <c r="F7" s="4" t="inlineStr">
        <is>
          <t>Analyst_Note</t>
        </is>
      </c>
      <c r="G7" s="4" t="inlineStr"/>
      <c r="H7" s="4" t="inlineStr">
        <is>
          <t>Formula check</t>
        </is>
      </c>
      <c r="I7" s="4" t="inlineStr">
        <is>
          <t>Value</t>
        </is>
      </c>
      <c r="J7" s="4" t="inlineStr">
        <is>
          <t>Interpretation</t>
        </is>
      </c>
      <c r="K7" s="2" t="n"/>
    </row>
    <row r="8">
      <c r="A8" s="2" t="n">
        <v>1</v>
      </c>
      <c r="B8" s="2" t="n">
        <v>10000</v>
      </c>
      <c r="C8" s="2" t="n">
        <v>72000</v>
      </c>
      <c r="D8" s="2" t="n">
        <v>0</v>
      </c>
      <c r="E8" s="2" t="n">
        <v>0</v>
      </c>
      <c r="F8" s="2" t="inlineStr">
        <is>
          <t>Baseline</t>
        </is>
      </c>
      <c r="G8" s="2" t="n"/>
      <c r="H8" s="5" t="inlineStr">
        <is>
          <t>Formula check</t>
        </is>
      </c>
      <c r="I8" s="5" t="inlineStr">
        <is>
          <t>Value</t>
        </is>
      </c>
      <c r="J8" s="5" t="inlineStr">
        <is>
          <t>Interpretation</t>
        </is>
      </c>
      <c r="K8" s="5" t="inlineStr">
        <is>
          <t>Excel formula</t>
        </is>
      </c>
    </row>
    <row r="9">
      <c r="A9" s="2" t="n">
        <v>2</v>
      </c>
      <c r="B9" s="2" t="n">
        <v>12000</v>
      </c>
      <c r="C9" s="2" t="n">
        <v>78000</v>
      </c>
      <c r="D9" s="2" t="n">
        <v>0</v>
      </c>
      <c r="E9" s="2" t="n">
        <v>0</v>
      </c>
      <c r="F9" s="2" t="inlineStr">
        <is>
          <t>Baseline</t>
        </is>
      </c>
      <c r="G9" s="2" t="n"/>
      <c r="H9" s="2" t="inlineStr">
        <is>
          <t>Pearson r</t>
        </is>
      </c>
      <c r="I9" s="2">
        <f>CORREL(B8:B19,C8:C19)</f>
        <v/>
      </c>
      <c r="J9" s="2" t="inlineStr">
        <is>
          <t>First diagnostic only</t>
        </is>
      </c>
      <c r="K9" s="2">
        <f>CORREL(ad spend, revenue)</f>
        <v/>
      </c>
    </row>
    <row r="10">
      <c r="A10" s="2" t="n">
        <v>3</v>
      </c>
      <c r="B10" s="2" t="n">
        <v>14000</v>
      </c>
      <c r="C10" s="2" t="n">
        <v>83000</v>
      </c>
      <c r="D10" s="2" t="n">
        <v>0</v>
      </c>
      <c r="E10" s="2" t="n">
        <v>0</v>
      </c>
      <c r="F10" s="2" t="inlineStr">
        <is>
          <t>Baseline</t>
        </is>
      </c>
      <c r="G10" s="2" t="n"/>
      <c r="H10" s="2" t="inlineStr">
        <is>
          <t>R-squared</t>
        </is>
      </c>
      <c r="I10" s="2">
        <f>RSQ(C8:C19,B8:B19)</f>
        <v/>
      </c>
      <c r="J10" s="2" t="inlineStr">
        <is>
          <t>Regression fit indicator</t>
        </is>
      </c>
      <c r="K10" s="2">
        <f>RSQ(revenue, spend)</f>
        <v/>
      </c>
    </row>
    <row r="11">
      <c r="A11" s="2" t="n">
        <v>4</v>
      </c>
      <c r="B11" s="2" t="n">
        <v>16000</v>
      </c>
      <c r="C11" s="2" t="n">
        <v>90000</v>
      </c>
      <c r="D11" s="2" t="n">
        <v>0</v>
      </c>
      <c r="E11" s="2" t="n">
        <v>1</v>
      </c>
      <c r="F11" s="2" t="inlineStr">
        <is>
          <t>Promo</t>
        </is>
      </c>
      <c r="G11" s="2" t="n"/>
      <c r="H11" s="2" t="inlineStr">
        <is>
          <t>Slope</t>
        </is>
      </c>
      <c r="I11" s="2">
        <f>SLOPE(C8:C19,B8:B19)</f>
        <v/>
      </c>
      <c r="J11" s="2" t="inlineStr">
        <is>
          <t>Revenue change per $1 ad spend</t>
        </is>
      </c>
      <c r="K11" s="2">
        <f>SLOPE(revenue, spend)</f>
        <v/>
      </c>
    </row>
    <row r="12">
      <c r="A12" s="2" t="n">
        <v>5</v>
      </c>
      <c r="B12" s="2" t="n">
        <v>18000</v>
      </c>
      <c r="C12" s="2" t="n">
        <v>97000</v>
      </c>
      <c r="D12" s="2" t="n">
        <v>0</v>
      </c>
      <c r="E12" s="2" t="n">
        <v>1</v>
      </c>
      <c r="F12" s="2" t="inlineStr">
        <is>
          <t>Promo</t>
        </is>
      </c>
      <c r="G12" s="2" t="n"/>
      <c r="H12" s="2" t="inlineStr">
        <is>
          <t>Intercept</t>
        </is>
      </c>
      <c r="I12" s="2">
        <f>INTERCEPT(C8:C19,B8:B19)</f>
        <v/>
      </c>
      <c r="J12" s="2" t="inlineStr">
        <is>
          <t>Estimated baseline</t>
        </is>
      </c>
      <c r="K12" s="2">
        <f>INTERCEPT(revenue, spend)</f>
        <v/>
      </c>
    </row>
    <row r="13">
      <c r="A13" s="2" t="n">
        <v>6</v>
      </c>
      <c r="B13" s="2" t="n">
        <v>20000</v>
      </c>
      <c r="C13" s="2" t="n">
        <v>103000</v>
      </c>
      <c r="D13" s="2" t="n">
        <v>0</v>
      </c>
      <c r="E13" s="2" t="n">
        <v>0</v>
      </c>
      <c r="F13" s="2" t="inlineStr">
        <is>
          <t>Baseline</t>
        </is>
      </c>
      <c r="G13" s="2" t="n"/>
      <c r="H13" s="2" t="inlineStr">
        <is>
          <t>Forecast at $28K spend</t>
        </is>
      </c>
      <c r="I13" s="2">
        <f>FORECAST.LINEAR(28000,C8:C19,B8:B19)</f>
        <v/>
      </c>
      <c r="J13" s="2" t="inlineStr">
        <is>
          <t>Prediction example</t>
        </is>
      </c>
      <c r="K13" s="2">
        <f>FORECAST.LINEAR(28000, revenue, spend)</f>
        <v/>
      </c>
    </row>
    <row r="14">
      <c r="A14" s="2" t="n">
        <v>7</v>
      </c>
      <c r="B14" s="2" t="n">
        <v>22000</v>
      </c>
      <c r="C14" s="2" t="n">
        <v>110000</v>
      </c>
      <c r="D14" s="2" t="n">
        <v>0</v>
      </c>
      <c r="E14" s="2" t="n">
        <v>0</v>
      </c>
      <c r="F14" s="2" t="inlineStr">
        <is>
          <t>Baseline</t>
        </is>
      </c>
      <c r="G14" s="2" t="n"/>
      <c r="H14" s="2" t="n"/>
      <c r="I14" s="2" t="n"/>
      <c r="J14" s="2" t="n"/>
      <c r="K14" s="2" t="n"/>
    </row>
    <row r="15">
      <c r="A15" s="2" t="n">
        <v>8</v>
      </c>
      <c r="B15" s="2" t="n">
        <v>24000</v>
      </c>
      <c r="C15" s="2" t="n">
        <v>118000</v>
      </c>
      <c r="D15" s="2" t="n">
        <v>0</v>
      </c>
      <c r="E15" s="2" t="n">
        <v>1</v>
      </c>
      <c r="F15" s="2" t="inlineStr">
        <is>
          <t>Promo</t>
        </is>
      </c>
      <c r="G15" s="2" t="n"/>
      <c r="H15" s="2" t="n"/>
      <c r="I15" s="2" t="n"/>
      <c r="J15" s="2" t="n"/>
      <c r="K15" s="2" t="n"/>
    </row>
    <row r="16">
      <c r="A16" s="2" t="n">
        <v>9</v>
      </c>
      <c r="B16" s="2" t="n">
        <v>26000</v>
      </c>
      <c r="C16" s="2" t="n">
        <v>124000</v>
      </c>
      <c r="D16" s="2" t="n">
        <v>0</v>
      </c>
      <c r="E16" s="2" t="n">
        <v>0</v>
      </c>
      <c r="F16" s="2" t="inlineStr">
        <is>
          <t>Baseline</t>
        </is>
      </c>
      <c r="G16" s="2" t="n"/>
      <c r="H16" s="2" t="n"/>
      <c r="I16" s="2" t="n"/>
      <c r="J16" s="2" t="n"/>
      <c r="K16" s="2" t="n"/>
    </row>
    <row r="17">
      <c r="A17" s="2" t="n">
        <v>10</v>
      </c>
      <c r="B17" s="2" t="n">
        <v>30000</v>
      </c>
      <c r="C17" s="2" t="n">
        <v>139000</v>
      </c>
      <c r="D17" s="2" t="n">
        <v>1</v>
      </c>
      <c r="E17" s="2" t="n">
        <v>1</v>
      </c>
      <c r="F17" s="2" t="inlineStr">
        <is>
          <t>Holiday</t>
        </is>
      </c>
      <c r="G17" s="2" t="n"/>
      <c r="H17" s="2" t="n"/>
      <c r="I17" s="2" t="n"/>
      <c r="J17" s="2" t="n"/>
      <c r="K17" s="2" t="n"/>
    </row>
    <row r="18">
      <c r="A18" s="2" t="n">
        <v>11</v>
      </c>
      <c r="B18" s="2" t="n">
        <v>34000</v>
      </c>
      <c r="C18" s="2" t="n">
        <v>151000</v>
      </c>
      <c r="D18" s="2" t="n">
        <v>1</v>
      </c>
      <c r="E18" s="2" t="n">
        <v>1</v>
      </c>
      <c r="F18" s="2" t="inlineStr">
        <is>
          <t>Holiday</t>
        </is>
      </c>
      <c r="G18" s="2" t="n"/>
      <c r="H18" s="2" t="n"/>
      <c r="I18" s="2" t="n"/>
      <c r="J18" s="2" t="n"/>
      <c r="K18" s="2" t="n"/>
    </row>
    <row r="19">
      <c r="A19" s="2" t="n">
        <v>12</v>
      </c>
      <c r="B19" s="2" t="n">
        <v>38000</v>
      </c>
      <c r="C19" s="2" t="n">
        <v>164000</v>
      </c>
      <c r="D19" s="2" t="n">
        <v>1</v>
      </c>
      <c r="E19" s="2" t="n">
        <v>1</v>
      </c>
      <c r="F19" s="2" t="inlineStr">
        <is>
          <t>Holiday</t>
        </is>
      </c>
      <c r="G19" s="2" t="n"/>
      <c r="H19" s="2" t="n"/>
      <c r="I19" s="2" t="n"/>
      <c r="J19" s="2" t="n"/>
      <c r="K19" s="2" t="n"/>
    </row>
  </sheetData>
  <mergeCells count="3">
    <mergeCell ref="A1:J1"/>
    <mergeCell ref="B3:J3"/>
    <mergeCell ref="B4:J4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2026-07-02T17:52:37Z</dcterms:created>
  <dcterms:modified xsi:type="dcterms:W3CDTF">2026-07-02T17:52:37Z</dcterms:modified>
</cp:coreProperties>
</file>