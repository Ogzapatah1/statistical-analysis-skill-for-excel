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esktop\GitHub Projects\statistical-analysis-skill\tests\Regression\"/>
    </mc:Choice>
  </mc:AlternateContent>
  <xr:revisionPtr revIDLastSave="0" documentId="13_ncr:1_{20884463-9740-4EAF-974E-11E857FE1A0B}" xr6:coauthVersionLast="47" xr6:coauthVersionMax="47" xr10:uidLastSave="{00000000-0000-0000-0000-000000000000}"/>
  <bookViews>
    <workbookView xWindow="-108" yWindow="-108" windowWidth="23256" windowHeight="12576" activeTab="9" xr2:uid="{00000000-000D-0000-FFFF-FFFF00000000}"/>
  </bookViews>
  <sheets>
    <sheet name="README" sheetId="1" r:id="rId1"/>
    <sheet name="Prompt_Bank" sheetId="2" r:id="rId2"/>
    <sheet name="Answer_Key" sheetId="3" r:id="rId3"/>
    <sheet name="Simple_Linear" sheetId="4" r:id="rId4"/>
    <sheet name="Multiple_Regression" sheetId="5" r:id="rId5"/>
    <sheet name="Outlier_Influence" sheetId="6" r:id="rId6"/>
    <sheet name="Multicollinearity" sheetId="7" r:id="rId7"/>
    <sheet name="Nonlinear_Risk" sheetId="8" r:id="rId8"/>
    <sheet name="Binary_Outcome" sheetId="9" r:id="rId9"/>
    <sheet name="Time_Leakage" sheetId="10" r:id="rId10"/>
  </sheets>
  <definedNames>
    <definedName name="_xlnm._FilterDatabase" localSheetId="8" hidden="1">Binary_Outcome!$A$6:$E$34</definedName>
    <definedName name="_xlnm._FilterDatabase" localSheetId="6" hidden="1">Multicollinearity!$A$6:$E$36</definedName>
    <definedName name="_xlnm._FilterDatabase" localSheetId="4" hidden="1">Multiple_Regression!$A$6:$F$36</definedName>
    <definedName name="_xlnm._FilterDatabase" localSheetId="7" hidden="1">Nonlinear_Risk!$A$6:$C$30</definedName>
    <definedName name="_xlnm._FilterDatabase" localSheetId="5" hidden="1">Outlier_Influence!$A$6:$D$30</definedName>
    <definedName name="_xlnm._FilterDatabase" localSheetId="3" hidden="1">Simple_Linear!$A$6:$D$30</definedName>
    <definedName name="_xlnm._FilterDatabase" localSheetId="9" hidden="1">Time_Leakage!$A$6:$E$30</definedName>
  </definedNames>
  <calcPr calcId="181029" forceFullCalc="1"/>
</workbook>
</file>

<file path=xl/sharedStrings.xml><?xml version="1.0" encoding="utf-8"?>
<sst xmlns="http://schemas.openxmlformats.org/spreadsheetml/2006/main" count="291" uniqueCount="222">
  <si>
    <t>Regression Skill Test Workbook</t>
  </si>
  <si>
    <t>Version</t>
  </si>
  <si>
    <t>Unsolved regression feature test fixture</t>
  </si>
  <si>
    <t>Purpose</t>
  </si>
  <si>
    <t>Test whether the Excel skill selects, executes, explains, and classifies regression models for common business questions.</t>
  </si>
  <si>
    <t>How to use</t>
  </si>
  <si>
    <t>Run each prompt from Prompt_Bank against the matching worksheet. Do not manually create the result areas before testing.</t>
  </si>
  <si>
    <t>Required output 1</t>
  </si>
  <si>
    <t>A nine-point Regression Analysis Results section on the same worksheet as the source data.</t>
  </si>
  <si>
    <t>Required output 2</t>
  </si>
  <si>
    <t>A new Regression_Model_Summary worksheet with model statistics, coefficients, predictions, residuals, diagnostics, and the three most relevant predictors.</t>
  </si>
  <si>
    <t>Classification</t>
  </si>
  <si>
    <t>The main report must end with Ready for decision support, Use with caution, or Do not rely on this model yet, using green, yellow, or red formatting.</t>
  </si>
  <si>
    <t>Interpretation standard</t>
  </si>
  <si>
    <t>Connect statistical outputs to the business question, distinguish association from causation, and avoid overwhelming the business user with unnecessary detail.</t>
  </si>
  <si>
    <t>Test coverage</t>
  </si>
  <si>
    <t>Simple OLS, multiple OLS, influential outlier, multicollinearity, nonlinear pattern, binary outcome, and time leakage.</t>
  </si>
  <si>
    <t>Solved copy</t>
  </si>
  <si>
    <t>After testing, save a separate copy with _solved appended to the filename. Keep this workbook as the reusable unsolved fixture.</t>
  </si>
  <si>
    <t>Regression Test Prompt Bank</t>
  </si>
  <si>
    <t>Use the prompt with the corresponding sheet. The workbook intentionally includes method-selection and diagnostic traps.</t>
  </si>
  <si>
    <t>Test ID</t>
  </si>
  <si>
    <t>Worksheet</t>
  </si>
  <si>
    <t>Prompt</t>
  </si>
  <si>
    <t>REG-01</t>
  </si>
  <si>
    <t>Simple_Linear</t>
  </si>
  <si>
    <t>Estimate how monthly marketing spend is associated with sales. Select the appropriate regression method, create both mandatory Excel outputs, and explain whether the model is suitable for planning. Do not make a causal claim.</t>
  </si>
  <si>
    <t>REG-02</t>
  </si>
  <si>
    <t>Multiple_Regression</t>
  </si>
  <si>
    <t>Estimate monthly sales using marketing spend, average discount, seasonality index, and active sales representatives. Explain the three most relevant predictors and create both mandatory Excel outputs.</t>
  </si>
  <si>
    <t>REG-03</t>
  </si>
  <si>
    <t>Outlier_Influence</t>
  </si>
  <si>
    <t>Evaluate whether marketing spend predicts revenue reliably when one enterprise campaign is much larger than the other observations. Compare results with and without the influential observation.</t>
  </si>
  <si>
    <t>REG-04</t>
  </si>
  <si>
    <t>Multicollinearity</t>
  </si>
  <si>
    <t>Model sales using paid media spend, campaign reach, and brand impressions. Assess whether individual coefficients can be interpreted reliably.</t>
  </si>
  <si>
    <t>REG-05</t>
  </si>
  <si>
    <t>Nonlinear_Risk</t>
  </si>
  <si>
    <t>Assess whether a straight-line regression is appropriate for forecasting sales response to marketing spend across the full investment range.</t>
  </si>
  <si>
    <t>REG-06</t>
  </si>
  <si>
    <t>Binary_Outcome</t>
  </si>
  <si>
    <t>Predict customer churn from service tickets, tenure, and monthly spend. Decide whether ordinary linear regression is appropriate before modeling.</t>
  </si>
  <si>
    <t>REG-07</t>
  </si>
  <si>
    <t>Time_Leakage</t>
  </si>
  <si>
    <t>Build a planning model for monthly sales using only information available before month end. Check whether every proposed predictor is valid at prediction time.</t>
  </si>
  <si>
    <t>Regression Test Answer Key</t>
  </si>
  <si>
    <t>Use this sheet to assess method selection, interpretation, diagnostics, mandatory outputs, and model classification.</t>
  </si>
  <si>
    <t>Expected method</t>
  </si>
  <si>
    <t>Expected interpretation or warning</t>
  </si>
  <si>
    <t>Expected classification</t>
  </si>
  <si>
    <t>Simple linear OLS</t>
  </si>
  <si>
    <t>A strong positive linear association supports planning, but the result is observational rather than causal.</t>
  </si>
  <si>
    <t>Ready for decision support</t>
  </si>
  <si>
    <t>Multiple OLS</t>
  </si>
  <si>
    <t>Interpret each coefficient while holding the other predictors constant; surface the top three predictors in the technical summary.</t>
  </si>
  <si>
    <t>OLS sensitivity analysis</t>
  </si>
  <si>
    <t>The enterprise observation materially changes the fitted relationship; the skill should flag influence and avoid a confident decision-ready classification.</t>
  </si>
  <si>
    <t>Use with caution</t>
  </si>
  <si>
    <t>Multiple OLS with collinearity diagnostics</t>
  </si>
  <si>
    <t>The predictors contain heavily overlapping information. Overall fit may look strong while individual coefficients are unstable.</t>
  </si>
  <si>
    <t>Linearity assessment</t>
  </si>
  <si>
    <t>The data show diminishing returns. A single linear slope should not be treated as stable across the full range.</t>
  </si>
  <si>
    <t>Do not rely on this model yet</t>
  </si>
  <si>
    <t>Method-selection gate</t>
  </si>
  <si>
    <t>Churn is binary, so ordinary linear regression is inappropriate. Recommend logistic regression instead.</t>
  </si>
  <si>
    <t>Prediction-time data audit</t>
  </si>
  <si>
    <t>Month-end sales adjustment is calculated after actual sales are known and creates look-ahead leakage. Remove it before fitting.</t>
  </si>
  <si>
    <t>Simple Linear Regression: Marketing Spend and Sales</t>
  </si>
  <si>
    <t>Unsolved test case. Run the regression skill against this sheet and retain both mandatory Excel outputs.</t>
  </si>
  <si>
    <t>Business question</t>
  </si>
  <si>
    <t>Can monthly marketing spend help estimate sales for planning purposes?</t>
  </si>
  <si>
    <t>Design note</t>
  </si>
  <si>
    <t>One continuous outcome and one continuous predictor with a strong linear pattern. Seasonality is supplied as context, not as a predictor for this test.</t>
  </si>
  <si>
    <t>Month</t>
  </si>
  <si>
    <t>Marketing Spend</t>
  </si>
  <si>
    <t>Sales</t>
  </si>
  <si>
    <t>Seasonality Context</t>
  </si>
  <si>
    <t>Multiple Regression: Monthly Sales Drivers</t>
  </si>
  <si>
    <t>Which controllable and operating factors are most useful for estimating monthly sales?</t>
  </si>
  <si>
    <t>Continuous outcome with four candidate predictors. Coefficients must be interpreted conditionally, and the technical summary should report only the three most relevant predictors.</t>
  </si>
  <si>
    <t>Average Discount</t>
  </si>
  <si>
    <t>Seasonality Index</t>
  </si>
  <si>
    <t>Active Sales Reps</t>
  </si>
  <si>
    <t>Regression Diagnostic: Influential Enterprise Campaign</t>
  </si>
  <si>
    <t>Is the marketing-spend relationship stable enough to use across both standard and enterprise campaigns?</t>
  </si>
  <si>
    <t>One high-leverage enterprise observation is intentionally included. Compare the fitted relationship with and without it before classifying the model.</t>
  </si>
  <si>
    <t>Campaign</t>
  </si>
  <si>
    <t>Campaign Type</t>
  </si>
  <si>
    <t>Revenue</t>
  </si>
  <si>
    <t>Campaign 01</t>
  </si>
  <si>
    <t>Standard</t>
  </si>
  <si>
    <t>Campaign 02</t>
  </si>
  <si>
    <t>Campaign 03</t>
  </si>
  <si>
    <t>Campaign 04</t>
  </si>
  <si>
    <t>Campaign 05</t>
  </si>
  <si>
    <t>Campaign 06</t>
  </si>
  <si>
    <t>Campaign 07</t>
  </si>
  <si>
    <t>Campaign 08</t>
  </si>
  <si>
    <t>Campaign 09</t>
  </si>
  <si>
    <t>Campaign 10</t>
  </si>
  <si>
    <t>Campaign 11</t>
  </si>
  <si>
    <t>Campaign 12</t>
  </si>
  <si>
    <t>Campaign 13</t>
  </si>
  <si>
    <t>Campaign 14</t>
  </si>
  <si>
    <t>Campaign 15</t>
  </si>
  <si>
    <t>Campaign 16</t>
  </si>
  <si>
    <t>Campaign 17</t>
  </si>
  <si>
    <t>Campaign 18</t>
  </si>
  <si>
    <t>Campaign 19</t>
  </si>
  <si>
    <t>Campaign 20</t>
  </si>
  <si>
    <t>Campaign 21</t>
  </si>
  <si>
    <t>Campaign 22</t>
  </si>
  <si>
    <t>Enterprise</t>
  </si>
  <si>
    <t>Campaign 23</t>
  </si>
  <si>
    <t>Campaign 24</t>
  </si>
  <si>
    <t>Regression Diagnostic: Overlapping Marketing Predictors</t>
  </si>
  <si>
    <t>Can paid media spend, campaign reach, and brand impressions be interpreted as separate sales drivers?</t>
  </si>
  <si>
    <t>The three predictors are intentionally near-duplicates. Strong overall fit must not be confused with reliable individual coefficient estimates.</t>
  </si>
  <si>
    <t>Region</t>
  </si>
  <si>
    <t>Paid Media Spend</t>
  </si>
  <si>
    <t>Campaign Reach (000s)</t>
  </si>
  <si>
    <t>Brand Impressions (000s)</t>
  </si>
  <si>
    <t>Region 01</t>
  </si>
  <si>
    <t>Region 02</t>
  </si>
  <si>
    <t>Region 03</t>
  </si>
  <si>
    <t>Region 04</t>
  </si>
  <si>
    <t>Region 05</t>
  </si>
  <si>
    <t>Region 06</t>
  </si>
  <si>
    <t>Region 07</t>
  </si>
  <si>
    <t>Region 08</t>
  </si>
  <si>
    <t>Region 09</t>
  </si>
  <si>
    <t>Region 10</t>
  </si>
  <si>
    <t>Region 11</t>
  </si>
  <si>
    <t>Region 12</t>
  </si>
  <si>
    <t>Region 13</t>
  </si>
  <si>
    <t>Region 14</t>
  </si>
  <si>
    <t>Region 15</t>
  </si>
  <si>
    <t>Region 16</t>
  </si>
  <si>
    <t>Region 17</t>
  </si>
  <si>
    <t>Region 18</t>
  </si>
  <si>
    <t>Region 19</t>
  </si>
  <si>
    <t>Region 20</t>
  </si>
  <si>
    <t>Region 21</t>
  </si>
  <si>
    <t>Region 22</t>
  </si>
  <si>
    <t>Region 23</t>
  </si>
  <si>
    <t>Region 24</t>
  </si>
  <si>
    <t>Region 25</t>
  </si>
  <si>
    <t>Region 26</t>
  </si>
  <si>
    <t>Region 27</t>
  </si>
  <si>
    <t>Region 28</t>
  </si>
  <si>
    <t>Region 29</t>
  </si>
  <si>
    <t>Region 30</t>
  </si>
  <si>
    <t>Regression Diagnostic: Diminishing Marketing Returns</t>
  </si>
  <si>
    <t>Can one straight-line coefficient represent sales response across the full marketing investment range?</t>
  </si>
  <si>
    <t>The relationship intentionally follows diminishing returns. The skill should inspect shape and residual behavior before accepting ordinary linear regression.</t>
  </si>
  <si>
    <t>Market</t>
  </si>
  <si>
    <t>Market 01</t>
  </si>
  <si>
    <t>Market 02</t>
  </si>
  <si>
    <t>Market 03</t>
  </si>
  <si>
    <t>Market 04</t>
  </si>
  <si>
    <t>Market 05</t>
  </si>
  <si>
    <t>Market 06</t>
  </si>
  <si>
    <t>Market 07</t>
  </si>
  <si>
    <t>Market 08</t>
  </si>
  <si>
    <t>Market 09</t>
  </si>
  <si>
    <t>Market 10</t>
  </si>
  <si>
    <t>Market 11</t>
  </si>
  <si>
    <t>Market 12</t>
  </si>
  <si>
    <t>Market 13</t>
  </si>
  <si>
    <t>Market 14</t>
  </si>
  <si>
    <t>Market 15</t>
  </si>
  <si>
    <t>Market 16</t>
  </si>
  <si>
    <t>Market 17</t>
  </si>
  <si>
    <t>Market 18</t>
  </si>
  <si>
    <t>Market 19</t>
  </si>
  <si>
    <t>Market 20</t>
  </si>
  <si>
    <t>Market 21</t>
  </si>
  <si>
    <t>Market 22</t>
  </si>
  <si>
    <t>Market 23</t>
  </si>
  <si>
    <t>Market 24</t>
  </si>
  <si>
    <t>Method Selection: Customer Churn</t>
  </si>
  <si>
    <t>Which customer characteristics are associated with the probability of churn?</t>
  </si>
  <si>
    <t>The outcome is binary (0/1). This is a deliberate method-selection gate: ordinary linear regression should not be used.</t>
  </si>
  <si>
    <t>Customer ID</t>
  </si>
  <si>
    <t>Service Tickets</t>
  </si>
  <si>
    <t>Tenure (Months)</t>
  </si>
  <si>
    <t>Monthly Spend</t>
  </si>
  <si>
    <t>Churn Flag (1=Yes)</t>
  </si>
  <si>
    <t>CUST-1001</t>
  </si>
  <si>
    <t>CUST-1002</t>
  </si>
  <si>
    <t>CUST-1003</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</si>
  <si>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</si>
  <si>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</si>
  <si>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</si>
  <si>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</si>
  <si>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</si>
  <si>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</si>
  <si>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</si>
  <si>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</si>
  <si>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</si>
  <si>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</si>
  <si>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</si>
  <si>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</si>
  <si>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</si>
  <si>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</si>
  <si>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</si>
  <si>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</si>
  <si>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</si>
  <si>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</si>
  <si>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</si>
  <si>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CUST-1023</t>
  </si>
  <si>
    <t>CUST-1024</t>
  </si>
  <si>
    <t>CUST-1025</t>
  </si>
  <si>
    <t>CUST-1026</t>
  </si>
  <si>
    <t>CUST-1027</t>
  </si>
  <si>
    <t>CUST-1028</t>
  </si>
  <si>
    <t>Prediction Diagnostic: Month-End Data Leakage</t>
  </si>
  <si>
    <t>Can the model estimate monthly sales using only information available before month end?</t>
  </si>
  <si>
    <t>Month-end sales adjustment is calculated after actual sales are known. It is intentionally leaked and must be excluded from a planning model.</t>
  </si>
  <si>
    <t>Pre-Month-End Sales Calls</t>
  </si>
  <si>
    <t>Month-End Sales Adjustment</t>
  </si>
  <si>
    <t>Actual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</si>
</sst>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5" x14ac:knownFonts="1">
    <font>
      <sz val="11"/>
      <color theme="1"/>
      <name val="Calibri"/>
      <family val="2"/>
      <scheme val="minor"/>
    </font>
    <font>
      <b/>
      <sz val="16"/>
      <color rgb="FFFFFFFF"/>
      <name val="Calibri"/>
    </font>
    <font>
      <b/>
      <sz val="11"/>
      <color rgb="FF1F4E78"/>
      <name val="Calibri"/>
    </font>
    <font>
      <i/>
      <sz val="10"/>
      <color rgb="FF666666"/>
      <name val="Calibri"/>
    </font>
    <font>
      <b/>
      <sz val="11"/>
      <color rgb="FFFFFFFF"/>
      <name val="Calibri"/>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bottom style="thin">
        <color rgb="FFB7B7B7"/>
      </bottom>
      <diagonal/>
    </border>
    <border>
      <left/>
      <right/>
      <top/>
      <bottom style="hair">
        <color rgb="FFD9D9D9"/>
      </bottom>
      <diagonal/>
    </border>
  </borders>
  <cellStyleXfs count="1">
    <xf numFmtId="0" fontId="0" fillId="0" borderId="0"/>
  </cellStyleXfs>
  <cellXfs count="17">
    <xf numFmtId="0" fontId="0" fillId="0" borderId="0" xfId="0"/>
    <xf numFmtId="0" fontId="2" fillId="3" borderId="0" xfId="0" applyFont="1" applyFill="1"/>
    <xf numFmtId="0" fontId="0" fillId="0" borderId="0" xfId="0" applyAlignment="1">
      <alignment vertical="top" wrapText="1"/>
    </xf>
    <xf numFmtId="0" fontId="4" fillId="4" borderId="1" xfId="0" applyFont="1" applyFill="1" applyBorder="1" applyAlignment="1">
      <alignment horizontal="center" vertical="center" wrapText="1"/>
    </xf>
    <xf numFmtId="0" fontId="2" fillId="3" borderId="2" xfId="0" applyFont="1" applyFill="1" applyBorder="1"/>
    <xf numFmtId="17" fontId="0" fillId="0" borderId="3" xfId="0" applyNumberFormat="1" applyBorder="1"/>
    <xf numFmtId="164" fontId="0" fillId="0" borderId="3" xfId="0" applyNumberFormat="1" applyBorder="1"/>
    <xf numFmtId="0" fontId="0" fillId="0" borderId="3" xfId="0" applyBorder="1"/>
    <xf numFmtId="165" fontId="0" fillId="0" borderId="3" xfId="0" applyNumberFormat="1" applyBorder="1"/>
    <xf numFmtId="2" fontId="0" fillId="0" borderId="3" xfId="0" applyNumberFormat="1" applyBorder="1"/>
    <xf numFmtId="1" fontId="0" fillId="0" borderId="3" xfId="0" applyNumberFormat="1" applyBorder="1"/>
    <xf numFmtId="3" fontId="0" fillId="0" borderId="3" xfId="0" applyNumberFormat="1" applyBorder="1"/>
    <xf numFmtId="0" fontId="3" fillId="0" borderId="0" xfId="0" applyFont="1" applyAlignment="1">
      <alignment vertical="top" wrapText="1"/>
    </xf>
    <xf numFmtId="0" fontId="0" fillId="0" borderId="0" xfId="0"/>
    <xf numFmtId="0" fontId="1" fillId="2" borderId="0" xfId="0" applyFont="1" applyFill="1" applyAlignment="1">
      <alignment vertical="center"/>
    </xf>
    <xf numFmtId="0" fontId="0" fillId="0" borderId="2" xfId="0" applyBorder="1" applyAlignment="1">
      <alignment vertical="top" wrapText="1"/>
    </xf>
    <xf numFmtId="0" fontId="0" fillId="0" borderId="2" xfId="0" applyBorder="1"/>
  </cellXfs>
  <cellStyles count="1">
    <cellStyle name="Normal" xfId="0" builtinId="0"/>
  </cellStyles>
  <dxfs count="3">
    <dxf>
      <fill>
        <patternFill patternType="solid">
          <fgColor rgb="FFF4CCCC"/>
        </patternFill>
      </fill>
    </dxf>
    <dxf>
      <fill>
        <patternFill patternType="solid">
          <fgColor rgb="FFFFF2CC"/>
        </patternFill>
      </fill>
    </dxf>
    <dxf>
      <fill>
        <patternFill patternType="solid">
          <fgColor rgb="FFC6E0B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ressionPrompts" displayName="tblRegressionPrompts" ref="A6:C13">
  <autoFilter ref="A6:C13" xr:uid="{00000000-0009-0000-0100-000001000000}"/>
  <tableColumns count="3">
    <tableColumn id="1" xr3:uid="{00000000-0010-0000-0000-000001000000}" name="Test ID"/>
    <tableColumn id="2" xr3:uid="{00000000-0010-0000-0000-000002000000}" name="Worksheet"/>
    <tableColumn id="3" xr3:uid="{00000000-0010-0000-0000-000003000000}" name="Promp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RegressionAnswers" displayName="tblRegressionAnswers" ref="A6:E13">
  <autoFilter ref="A6:E13" xr:uid="{00000000-0009-0000-0100-000002000000}"/>
  <tableColumns count="5">
    <tableColumn id="1" xr3:uid="{00000000-0010-0000-0100-000001000000}" name="Test ID"/>
    <tableColumn id="2" xr3:uid="{00000000-0010-0000-0100-000002000000}" name="Worksheet"/>
    <tableColumn id="3" xr3:uid="{00000000-0010-0000-0100-000003000000}" name="Expected method"/>
    <tableColumn id="4" xr3:uid="{00000000-0010-0000-0100-000004000000}" name="Expected interpretation or warning"/>
    <tableColumn id="5" xr3:uid="{00000000-0010-0000-0100-000005000000}" name="Expected classifi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95928C-3EA7-42AF-99EF-40AC18C10EF5}">
  <we:reference id="wa200010215" version="2.0.0.0" store="es-ES" storeType="OMEX"/>
  <we:alternateReferences>
    <we:reference id="WA200010215" version="2.0.0.0" store="" storeType="OMEX"/>
  </we:alternateReferences>
  <we:properties>
    <we:property name="bps.codex_control.document_id" value="&quot;e4eedbaa-e085-4404-8efb-d32d6f36070f&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F10"/>
  <sheetViews>
    <sheetView showGridLines="0" workbookViewId="0">
      <pane ySplit="1" topLeftCell="A2" activePane="bottomLeft" state="frozen"/>
      <selection pane="bottomLeft" sqref="A1:F1"/>
    </sheetView>
  </sheetViews>
  <sheetFormatPr defaultRowHeight="14.4" x14ac:dyDescent="0.3"/>
  <cols>
    <col min="1" max="1" width="24" customWidth="1"/>
    <col min="2" max="2" width="100" customWidth="1"/>
  </cols>
  <sheetData>
    <row r="1" spans="1:6" ht="28.05" customHeight="1" x14ac:dyDescent="0.3">
      <c r="A1" s="14" t="s">
        <v>0</v>
      </c>
      <c r="B1" s="13"/>
      <c r="C1" s="13"/>
      <c r="D1" s="13"/>
      <c r="E1" s="13"/>
      <c r="F1" s="13"/>
    </row>
    <row r="2" spans="1:6" ht="42" customHeight="1" x14ac:dyDescent="0.3">
      <c r="A2" s="1" t="s">
        <v>1</v>
      </c>
      <c r="B2" s="2" t="s">
        <v>2</v>
      </c>
    </row>
    <row r="3" spans="1:6" ht="42" customHeight="1" x14ac:dyDescent="0.3">
      <c r="A3" s="1" t="s">
        <v>3</v>
      </c>
      <c r="B3" s="2" t="s">
        <v>4</v>
      </c>
    </row>
    <row r="4" spans="1:6" ht="42" customHeight="1" x14ac:dyDescent="0.3">
      <c r="A4" s="1" t="s">
        <v>5</v>
      </c>
      <c r="B4" s="2" t="s">
        <v>6</v>
      </c>
    </row>
    <row r="5" spans="1:6" ht="42" customHeight="1" x14ac:dyDescent="0.3">
      <c r="A5" s="1" t="s">
        <v>7</v>
      </c>
      <c r="B5" s="2" t="s">
        <v>8</v>
      </c>
    </row>
    <row r="6" spans="1:6" ht="42" customHeight="1" x14ac:dyDescent="0.3">
      <c r="A6" s="1" t="s">
        <v>9</v>
      </c>
      <c r="B6" s="2" t="s">
        <v>10</v>
      </c>
    </row>
    <row r="7" spans="1:6" ht="42" customHeight="1" x14ac:dyDescent="0.3">
      <c r="A7" s="1" t="s">
        <v>11</v>
      </c>
      <c r="B7" s="2" t="s">
        <v>12</v>
      </c>
    </row>
    <row r="8" spans="1:6" ht="42" customHeight="1" x14ac:dyDescent="0.3">
      <c r="A8" s="1" t="s">
        <v>13</v>
      </c>
      <c r="B8" s="2" t="s">
        <v>14</v>
      </c>
    </row>
    <row r="9" spans="1:6" ht="42" customHeight="1" x14ac:dyDescent="0.3">
      <c r="A9" s="1" t="s">
        <v>15</v>
      </c>
      <c r="B9" s="2" t="s">
        <v>16</v>
      </c>
    </row>
    <row r="10" spans="1:6" ht="42" customHeight="1" x14ac:dyDescent="0.3">
      <c r="A10" s="1" t="s">
        <v>17</v>
      </c>
      <c r="B10" s="2" t="s">
        <v>18</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F13"/>
  <sheetViews>
    <sheetView showGridLines="0" workbookViewId="0">
      <pane ySplit="6" topLeftCell="A7" activePane="bottomLeft" state="frozen"/>
      <selection pane="bottomLeft" sqref="A1:F1"/>
    </sheetView>
  </sheetViews>
  <sheetFormatPr defaultRowHeight="14.4" x14ac:dyDescent="0.3"/>
  <cols>
    <col min="1" max="1" width="13" customWidth="1"/>
    <col min="2" max="2" width="24" customWidth="1"/>
    <col min="3" max="3" width="105" customWidth="1"/>
  </cols>
  <sheetData>
    <row r="1" spans="1:6" ht="28.05" customHeight="1" x14ac:dyDescent="0.3">
      <c r="A1" s="14" t="s">
        <v>19</v>
      </c>
      <c r="B1" s="13"/>
      <c r="C1" s="13"/>
      <c r="D1" s="13"/>
      <c r="E1" s="13"/>
      <c r="F1" s="13"/>
    </row>
    <row r="2" spans="1:6" ht="30" customHeight="1" x14ac:dyDescent="0.3">
      <c r="A2" s="12" t="s">
        <v>20</v>
      </c>
      <c r="B2" s="13"/>
      <c r="C2" s="13"/>
      <c r="D2" s="13"/>
      <c r="E2" s="13"/>
      <c r="F2" s="13"/>
    </row>
    <row r="6" spans="1:6" ht="34.049999999999997" customHeight="1" x14ac:dyDescent="0.3">
      <c r="A6" s="3" t="s">
        <v>21</v>
      </c>
      <c r="B6" s="3" t="s">
        <v>22</v>
      </c>
      <c r="C6" s="3" t="s">
        <v>23</v>
      </c>
    </row>
    <row r="7" spans="1:6" ht="61.95" customHeight="1" x14ac:dyDescent="0.3">
      <c r="A7" t="s">
        <v>24</v>
      </c>
      <c r="B7" t="s">
        <v>25</v>
      </c>
      <c r="C7" s="2" t="s">
        <v>26</v>
      </c>
    </row>
    <row r="8" spans="1:6" ht="61.95" customHeight="1" x14ac:dyDescent="0.3">
      <c r="A8" t="s">
        <v>27</v>
      </c>
      <c r="B8" t="s">
        <v>28</v>
      </c>
      <c r="C8" s="2" t="s">
        <v>29</v>
      </c>
    </row>
    <row r="9" spans="1:6" ht="61.95" customHeight="1" x14ac:dyDescent="0.3">
      <c r="A9" t="s">
        <v>30</v>
      </c>
      <c r="B9" t="s">
        <v>31</v>
      </c>
      <c r="C9" s="2" t="s">
        <v>32</v>
      </c>
    </row>
    <row r="10" spans="1:6" ht="61.95" customHeight="1" x14ac:dyDescent="0.3">
      <c r="A10" t="s">
        <v>33</v>
      </c>
      <c r="B10" t="s">
        <v>34</v>
      </c>
      <c r="C10" s="2" t="s">
        <v>35</v>
      </c>
    </row>
    <row r="11" spans="1:6" ht="61.95" customHeight="1" x14ac:dyDescent="0.3">
      <c r="A11" t="s">
        <v>36</v>
      </c>
      <c r="B11" t="s">
        <v>37</v>
      </c>
      <c r="C11" s="2" t="s">
        <v>38</v>
      </c>
    </row>
    <row r="12" spans="1:6" ht="61.95" customHeight="1" x14ac:dyDescent="0.3">
      <c r="A12" t="s">
        <v>39</v>
      </c>
      <c r="B12" t="s">
        <v>40</v>
      </c>
      <c r="C12" s="2" t="s">
        <v>41</v>
      </c>
    </row>
    <row r="13" spans="1:6" ht="61.95" customHeight="1" x14ac:dyDescent="0.3">
      <c r="A13" t="s">
        <v>42</v>
      </c>
      <c r="B13" t="s">
        <v>43</v>
      </c>
      <c r="C13" s="2" t="s">
        <v>44</v>
      </c>
    </row>
  </sheetData>
  <mergeCells count="2">
    <mergeCell ref="A2:F2"/>
    <mergeCell ref="A1:F1"/>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F13"/>
  <sheetViews>
    <sheetView showGridLines="0" workbookViewId="0">
      <pane ySplit="6" topLeftCell="A7" activePane="bottomLeft" state="frozen"/>
      <selection pane="bottomLeft" sqref="A1:F1"/>
    </sheetView>
  </sheetViews>
  <sheetFormatPr defaultRowHeight="14.4" x14ac:dyDescent="0.3"/>
  <cols>
    <col min="1" max="1" width="13" customWidth="1"/>
    <col min="2" max="2" width="24" customWidth="1"/>
    <col min="3" max="3" width="30" customWidth="1"/>
    <col min="4" max="4" width="85" customWidth="1"/>
    <col min="5" max="5" width="31" customWidth="1"/>
  </cols>
  <sheetData>
    <row r="1" spans="1:6" ht="28.05" customHeight="1" x14ac:dyDescent="0.3">
      <c r="A1" s="14" t="s">
        <v>45</v>
      </c>
      <c r="B1" s="13"/>
      <c r="C1" s="13"/>
      <c r="D1" s="13"/>
      <c r="E1" s="13"/>
      <c r="F1" s="13"/>
    </row>
    <row r="2" spans="1:6" ht="30" customHeight="1" x14ac:dyDescent="0.3">
      <c r="A2" s="12" t="s">
        <v>46</v>
      </c>
      <c r="B2" s="13"/>
      <c r="C2" s="13"/>
      <c r="D2" s="13"/>
      <c r="E2" s="13"/>
      <c r="F2" s="13"/>
    </row>
    <row r="6" spans="1:6" ht="34.049999999999997" customHeight="1" x14ac:dyDescent="0.3">
      <c r="A6" s="3" t="s">
        <v>21</v>
      </c>
      <c r="B6" s="3" t="s">
        <v>22</v>
      </c>
      <c r="C6" s="3" t="s">
        <v>47</v>
      </c>
      <c r="D6" s="3" t="s">
        <v>48</v>
      </c>
      <c r="E6" s="3" t="s">
        <v>49</v>
      </c>
    </row>
    <row r="7" spans="1:6" ht="67.95" customHeight="1" x14ac:dyDescent="0.3">
      <c r="A7" s="2" t="s">
        <v>24</v>
      </c>
      <c r="B7" s="2" t="s">
        <v>25</v>
      </c>
      <c r="C7" s="2" t="s">
        <v>50</v>
      </c>
      <c r="D7" s="2" t="s">
        <v>51</v>
      </c>
      <c r="E7" s="2" t="s">
        <v>52</v>
      </c>
    </row>
    <row r="8" spans="1:6" ht="67.95" customHeight="1" x14ac:dyDescent="0.3">
      <c r="A8" s="2" t="s">
        <v>27</v>
      </c>
      <c r="B8" s="2" t="s">
        <v>28</v>
      </c>
      <c r="C8" s="2" t="s">
        <v>53</v>
      </c>
      <c r="D8" s="2" t="s">
        <v>54</v>
      </c>
      <c r="E8" s="2" t="s">
        <v>52</v>
      </c>
    </row>
    <row r="9" spans="1:6" ht="67.95" customHeight="1" x14ac:dyDescent="0.3">
      <c r="A9" s="2" t="s">
        <v>30</v>
      </c>
      <c r="B9" s="2" t="s">
        <v>31</v>
      </c>
      <c r="C9" s="2" t="s">
        <v>55</v>
      </c>
      <c r="D9" s="2" t="s">
        <v>56</v>
      </c>
      <c r="E9" s="2" t="s">
        <v>57</v>
      </c>
    </row>
    <row r="10" spans="1:6" ht="67.95" customHeight="1" x14ac:dyDescent="0.3">
      <c r="A10" s="2" t="s">
        <v>33</v>
      </c>
      <c r="B10" s="2" t="s">
        <v>34</v>
      </c>
      <c r="C10" s="2" t="s">
        <v>58</v>
      </c>
      <c r="D10" s="2" t="s">
        <v>59</v>
      </c>
      <c r="E10" s="2" t="s">
        <v>57</v>
      </c>
    </row>
    <row r="11" spans="1:6" ht="67.95" customHeight="1" x14ac:dyDescent="0.3">
      <c r="A11" s="2" t="s">
        <v>36</v>
      </c>
      <c r="B11" s="2" t="s">
        <v>37</v>
      </c>
      <c r="C11" s="2" t="s">
        <v>60</v>
      </c>
      <c r="D11" s="2" t="s">
        <v>61</v>
      </c>
      <c r="E11" s="2" t="s">
        <v>62</v>
      </c>
    </row>
    <row r="12" spans="1:6" ht="67.95" customHeight="1" x14ac:dyDescent="0.3">
      <c r="A12" s="2" t="s">
        <v>39</v>
      </c>
      <c r="B12" s="2" t="s">
        <v>40</v>
      </c>
      <c r="C12" s="2" t="s">
        <v>63</v>
      </c>
      <c r="D12" s="2" t="s">
        <v>64</v>
      </c>
      <c r="E12" s="2" t="s">
        <v>62</v>
      </c>
    </row>
    <row r="13" spans="1:6" ht="67.95" customHeight="1" x14ac:dyDescent="0.3">
      <c r="A13" s="2" t="s">
        <v>42</v>
      </c>
      <c r="B13" s="2" t="s">
        <v>43</v>
      </c>
      <c r="C13" s="2" t="s">
        <v>65</v>
      </c>
      <c r="D13" s="2" t="s">
        <v>66</v>
      </c>
      <c r="E13" s="2" t="s">
        <v>62</v>
      </c>
    </row>
  </sheetData>
  <mergeCells count="2">
    <mergeCell ref="A2:F2"/>
    <mergeCell ref="A1:F1"/>
  </mergeCells>
  <conditionalFormatting sqref="E7:E13">
    <cfRule type="expression" dxfId="2" priority="1">
      <formula>E7="Ready for decision support"</formula>
    </cfRule>
    <cfRule type="expression" dxfId="1" priority="2">
      <formula>E7="Use with caution"</formula>
    </cfRule>
    <cfRule type="expression" dxfId="0" priority="3">
      <formula>E7="Do not rely on this model yet"</formula>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F30"/>
  <sheetViews>
    <sheetView showGridLines="0" workbookViewId="0">
      <pane ySplit="6" topLeftCell="A7" activePane="bottomLeft" state="frozen"/>
      <selection pane="bottomLeft" activeCell="B11" sqref="B11"/>
    </sheetView>
  </sheetViews>
  <sheetFormatPr defaultRowHeight="14.4" x14ac:dyDescent="0.3"/>
  <cols>
    <col min="1" max="1" width="16" bestFit="1" customWidth="1"/>
    <col min="2" max="2" width="21" customWidth="1"/>
    <col min="3" max="3" width="18" customWidth="1"/>
    <col min="4" max="4" width="22" customWidth="1"/>
  </cols>
  <sheetData>
    <row r="1" spans="1:6" ht="28.05" customHeight="1" x14ac:dyDescent="0.3">
      <c r="A1" s="14" t="s">
        <v>67</v>
      </c>
      <c r="B1" s="13"/>
      <c r="C1" s="13"/>
      <c r="D1" s="13"/>
      <c r="E1" s="13"/>
      <c r="F1" s="13"/>
    </row>
    <row r="2" spans="1:6" ht="30" customHeight="1" x14ac:dyDescent="0.3">
      <c r="A2" s="12" t="s">
        <v>68</v>
      </c>
      <c r="B2" s="13"/>
      <c r="C2" s="13"/>
      <c r="D2" s="13"/>
      <c r="E2" s="13"/>
      <c r="F2" s="13"/>
    </row>
    <row r="3" spans="1:6" ht="43.05" customHeight="1" x14ac:dyDescent="0.3">
      <c r="A3" s="4" t="s">
        <v>69</v>
      </c>
      <c r="B3" s="15" t="s">
        <v>70</v>
      </c>
      <c r="C3" s="16"/>
      <c r="D3" s="16"/>
    </row>
    <row r="4" spans="1:6" ht="43.05" customHeight="1" x14ac:dyDescent="0.3">
      <c r="A4" s="4" t="s">
        <v>71</v>
      </c>
      <c r="B4" s="15" t="s">
        <v>72</v>
      </c>
      <c r="C4" s="16"/>
      <c r="D4" s="16"/>
    </row>
    <row r="5" spans="1:6" ht="7.95" customHeight="1" x14ac:dyDescent="0.3"/>
    <row r="6" spans="1:6" ht="34.049999999999997" customHeight="1" x14ac:dyDescent="0.3">
      <c r="A6" s="3" t="s">
        <v>73</v>
      </c>
      <c r="B6" s="3" t="s">
        <v>74</v>
      </c>
      <c r="C6" s="3" t="s">
        <v>75</v>
      </c>
      <c r="D6" s="3" t="s">
        <v>76</v>
      </c>
    </row>
    <row r="7" spans="1:6" x14ac:dyDescent="0.3">
      <c r="A7" s="5">
        <v>45292</v>
      </c>
      <c r="B7" s="6">
        <v>12000</v>
      </c>
      <c r="C7" s="6">
        <v>103000</v>
      </c>
      <c r="D7" s="6">
        <v>3000</v>
      </c>
      <c r="E7" s="7"/>
      <c r="F7" s="7"/>
    </row>
    <row r="8" spans="1:6" x14ac:dyDescent="0.3">
      <c r="A8" s="5">
        <v>45323</v>
      </c>
      <c r="B8" s="6">
        <v>14650</v>
      </c>
      <c r="C8" s="6">
        <v>111198</v>
      </c>
      <c r="D8" s="6">
        <v>-2500</v>
      </c>
      <c r="E8" s="7"/>
      <c r="F8" s="7"/>
    </row>
    <row r="9" spans="1:6" x14ac:dyDescent="0.3">
      <c r="A9" s="5">
        <v>45352</v>
      </c>
      <c r="B9" s="6">
        <v>15000</v>
      </c>
      <c r="C9" s="6">
        <v>115150</v>
      </c>
      <c r="D9" s="6">
        <v>1500</v>
      </c>
      <c r="E9" s="7"/>
      <c r="F9" s="7"/>
    </row>
    <row r="10" spans="1:6" x14ac:dyDescent="0.3">
      <c r="A10" s="5">
        <v>45383</v>
      </c>
      <c r="B10" s="6">
        <v>17850</v>
      </c>
      <c r="C10" s="6">
        <v>131478</v>
      </c>
      <c r="D10" s="6">
        <v>4200</v>
      </c>
      <c r="E10" s="7"/>
      <c r="F10" s="7"/>
    </row>
    <row r="11" spans="1:6" x14ac:dyDescent="0.3">
      <c r="A11" s="5">
        <v>45413</v>
      </c>
      <c r="B11" s="6">
        <v>19000</v>
      </c>
      <c r="C11" s="6">
        <v>128750</v>
      </c>
      <c r="D11" s="6">
        <v>-1200</v>
      </c>
      <c r="E11" s="7"/>
      <c r="F11" s="7"/>
    </row>
    <row r="12" spans="1:6" x14ac:dyDescent="0.3">
      <c r="A12" s="5">
        <v>45444</v>
      </c>
      <c r="B12" s="6">
        <v>21650</v>
      </c>
      <c r="C12" s="6">
        <v>144548</v>
      </c>
      <c r="D12" s="6">
        <v>2000</v>
      </c>
      <c r="E12" s="7"/>
      <c r="F12" s="7"/>
    </row>
    <row r="13" spans="1:6" x14ac:dyDescent="0.3">
      <c r="A13" s="5">
        <v>45474</v>
      </c>
      <c r="B13" s="6">
        <v>22000</v>
      </c>
      <c r="C13" s="6">
        <v>144500</v>
      </c>
      <c r="D13" s="6">
        <v>3000</v>
      </c>
      <c r="E13" s="7"/>
      <c r="F13" s="7"/>
    </row>
    <row r="14" spans="1:6" x14ac:dyDescent="0.3">
      <c r="A14" s="5">
        <v>45505</v>
      </c>
      <c r="B14" s="6">
        <v>24850</v>
      </c>
      <c r="C14" s="6">
        <v>153528</v>
      </c>
      <c r="D14" s="6">
        <v>-2500</v>
      </c>
      <c r="E14" s="7"/>
      <c r="F14" s="7"/>
    </row>
    <row r="15" spans="1:6" x14ac:dyDescent="0.3">
      <c r="A15" s="5">
        <v>45536</v>
      </c>
      <c r="B15" s="6">
        <v>26000</v>
      </c>
      <c r="C15" s="6">
        <v>160800</v>
      </c>
      <c r="D15" s="6">
        <v>1500</v>
      </c>
      <c r="E15" s="7"/>
      <c r="F15" s="7"/>
    </row>
    <row r="16" spans="1:6" x14ac:dyDescent="0.3">
      <c r="A16" s="5">
        <v>45566</v>
      </c>
      <c r="B16" s="6">
        <v>28650</v>
      </c>
      <c r="C16" s="6">
        <v>176298</v>
      </c>
      <c r="D16" s="6">
        <v>4200</v>
      </c>
      <c r="E16" s="7"/>
      <c r="F16" s="7"/>
    </row>
    <row r="17" spans="1:6" x14ac:dyDescent="0.3">
      <c r="A17" s="5">
        <v>45597</v>
      </c>
      <c r="B17" s="6">
        <v>29000</v>
      </c>
      <c r="C17" s="6">
        <v>170250</v>
      </c>
      <c r="D17" s="6">
        <v>-1200</v>
      </c>
      <c r="E17" s="7"/>
      <c r="F17" s="7"/>
    </row>
    <row r="18" spans="1:6" x14ac:dyDescent="0.3">
      <c r="A18" s="5">
        <v>45627</v>
      </c>
      <c r="B18" s="6">
        <v>31850</v>
      </c>
      <c r="C18" s="6">
        <v>186878</v>
      </c>
      <c r="D18" s="6">
        <v>2000</v>
      </c>
      <c r="E18" s="7"/>
      <c r="F18" s="7"/>
    </row>
    <row r="19" spans="1:6" x14ac:dyDescent="0.3">
      <c r="A19" s="5">
        <v>45658</v>
      </c>
      <c r="B19" s="6">
        <v>33000</v>
      </c>
      <c r="C19" s="6">
        <v>190150</v>
      </c>
      <c r="D19" s="6">
        <v>3000</v>
      </c>
      <c r="E19" s="7"/>
      <c r="F19" s="7"/>
    </row>
    <row r="20" spans="1:6" x14ac:dyDescent="0.3">
      <c r="A20" s="5">
        <v>45689</v>
      </c>
      <c r="B20" s="6">
        <v>35650</v>
      </c>
      <c r="C20" s="6">
        <v>198348</v>
      </c>
      <c r="D20" s="6">
        <v>-2500</v>
      </c>
      <c r="E20" s="7"/>
      <c r="F20" s="7"/>
    </row>
    <row r="21" spans="1:6" x14ac:dyDescent="0.3">
      <c r="A21" s="5">
        <v>45717</v>
      </c>
      <c r="B21" s="6">
        <v>36000</v>
      </c>
      <c r="C21" s="6">
        <v>202300</v>
      </c>
      <c r="D21" s="6">
        <v>1500</v>
      </c>
      <c r="E21" s="7"/>
      <c r="F21" s="7"/>
    </row>
    <row r="22" spans="1:6" x14ac:dyDescent="0.3">
      <c r="A22" s="5">
        <v>45748</v>
      </c>
      <c r="B22" s="6">
        <v>38850</v>
      </c>
      <c r="C22" s="6">
        <v>218628</v>
      </c>
      <c r="D22" s="6">
        <v>4200</v>
      </c>
      <c r="E22" s="7"/>
      <c r="F22" s="7"/>
    </row>
    <row r="23" spans="1:6" x14ac:dyDescent="0.3">
      <c r="A23" s="5">
        <v>45778</v>
      </c>
      <c r="B23" s="6">
        <v>40000</v>
      </c>
      <c r="C23" s="6">
        <v>215900</v>
      </c>
      <c r="D23" s="6">
        <v>-1200</v>
      </c>
      <c r="E23" s="7"/>
      <c r="F23" s="7"/>
    </row>
    <row r="24" spans="1:6" x14ac:dyDescent="0.3">
      <c r="A24" s="5">
        <v>45809</v>
      </c>
      <c r="B24" s="6">
        <v>42650</v>
      </c>
      <c r="C24" s="6">
        <v>231698</v>
      </c>
      <c r="D24" s="6">
        <v>2000</v>
      </c>
      <c r="E24" s="7"/>
      <c r="F24" s="7"/>
    </row>
    <row r="25" spans="1:6" x14ac:dyDescent="0.3">
      <c r="A25" s="5">
        <v>45839</v>
      </c>
      <c r="B25" s="6">
        <v>43000</v>
      </c>
      <c r="C25" s="6">
        <v>231650</v>
      </c>
      <c r="D25" s="6">
        <v>3000</v>
      </c>
      <c r="E25" s="7"/>
      <c r="F25" s="7"/>
    </row>
    <row r="26" spans="1:6" x14ac:dyDescent="0.3">
      <c r="A26" s="5">
        <v>45870</v>
      </c>
      <c r="B26" s="6">
        <v>45850</v>
      </c>
      <c r="C26" s="6">
        <v>240678</v>
      </c>
      <c r="D26" s="6">
        <v>-2500</v>
      </c>
      <c r="E26" s="7"/>
      <c r="F26" s="7"/>
    </row>
    <row r="27" spans="1:6" x14ac:dyDescent="0.3">
      <c r="A27" s="5">
        <v>45901</v>
      </c>
      <c r="B27" s="6">
        <v>47000</v>
      </c>
      <c r="C27" s="6">
        <v>247950</v>
      </c>
      <c r="D27" s="6">
        <v>1500</v>
      </c>
      <c r="E27" s="7"/>
      <c r="F27" s="7"/>
    </row>
    <row r="28" spans="1:6" x14ac:dyDescent="0.3">
      <c r="A28" s="5">
        <v>45931</v>
      </c>
      <c r="B28" s="6">
        <v>49650</v>
      </c>
      <c r="C28" s="6">
        <v>263448</v>
      </c>
      <c r="D28" s="6">
        <v>4200</v>
      </c>
      <c r="E28" s="7"/>
      <c r="F28" s="7"/>
    </row>
    <row r="29" spans="1:6" x14ac:dyDescent="0.3">
      <c r="A29" s="5">
        <v>45962</v>
      </c>
      <c r="B29" s="6">
        <v>50000</v>
      </c>
      <c r="C29" s="6">
        <v>257400</v>
      </c>
      <c r="D29" s="6">
        <v>-1200</v>
      </c>
      <c r="E29" s="7"/>
      <c r="F29" s="7"/>
    </row>
    <row r="30" spans="1:6" x14ac:dyDescent="0.3">
      <c r="A30" s="5">
        <v>45992</v>
      </c>
      <c r="B30" s="6">
        <v>52850</v>
      </c>
      <c r="C30" s="6">
        <v>274028</v>
      </c>
      <c r="D30" s="6">
        <v>2000</v>
      </c>
      <c r="E30" s="7"/>
      <c r="F30" s="7"/>
    </row>
  </sheetData>
  <autoFilter ref="A6:D30" xr:uid="{00000000-0009-0000-0000-000003000000}"/>
  <mergeCells count="4">
    <mergeCell ref="A2:F2"/>
    <mergeCell ref="B3:D3"/>
    <mergeCell ref="A1:F1"/>
    <mergeCell ref="B4:D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F36"/>
  <sheetViews>
    <sheetView showGridLines="0" workbookViewId="0">
      <pane ySplit="6" topLeftCell="A7" activePane="bottomLeft" state="frozen"/>
      <selection pane="bottomLeft" sqref="A1:F1"/>
    </sheetView>
  </sheetViews>
  <sheetFormatPr defaultRowHeight="14.4" x14ac:dyDescent="0.3"/>
  <cols>
    <col min="1" max="1" width="14" customWidth="1"/>
    <col min="2" max="2" width="20" customWidth="1"/>
    <col min="3" max="4" width="19" customWidth="1"/>
    <col min="5" max="5" width="20" customWidth="1"/>
    <col min="6" max="6" width="18" customWidth="1"/>
  </cols>
  <sheetData>
    <row r="1" spans="1:6" ht="28.05" customHeight="1" x14ac:dyDescent="0.3">
      <c r="A1" s="14" t="s">
        <v>77</v>
      </c>
      <c r="B1" s="13"/>
      <c r="C1" s="13"/>
      <c r="D1" s="13"/>
      <c r="E1" s="13"/>
      <c r="F1" s="13"/>
    </row>
    <row r="2" spans="1:6" ht="30" customHeight="1" x14ac:dyDescent="0.3">
      <c r="A2" s="12" t="s">
        <v>68</v>
      </c>
      <c r="B2" s="13"/>
      <c r="C2" s="13"/>
      <c r="D2" s="13"/>
      <c r="E2" s="13"/>
      <c r="F2" s="13"/>
    </row>
    <row r="3" spans="1:6" ht="43.05" customHeight="1" x14ac:dyDescent="0.3">
      <c r="A3" s="4" t="s">
        <v>69</v>
      </c>
      <c r="B3" s="15" t="s">
        <v>78</v>
      </c>
      <c r="C3" s="16"/>
      <c r="D3" s="16"/>
      <c r="E3" s="16"/>
      <c r="F3" s="16"/>
    </row>
    <row r="4" spans="1:6" ht="43.05" customHeight="1" x14ac:dyDescent="0.3">
      <c r="A4" s="4" t="s">
        <v>71</v>
      </c>
      <c r="B4" s="15" t="s">
        <v>79</v>
      </c>
      <c r="C4" s="16"/>
      <c r="D4" s="16"/>
      <c r="E4" s="16"/>
      <c r="F4" s="16"/>
    </row>
    <row r="5" spans="1:6" ht="7.95" customHeight="1" x14ac:dyDescent="0.3"/>
    <row r="6" spans="1:6" ht="34.049999999999997" customHeight="1" x14ac:dyDescent="0.3">
      <c r="A6" s="3" t="s">
        <v>73</v>
      </c>
      <c r="B6" s="3" t="s">
        <v>74</v>
      </c>
      <c r="C6" s="3" t="s">
        <v>80</v>
      </c>
      <c r="D6" s="3" t="s">
        <v>81</v>
      </c>
      <c r="E6" s="3" t="s">
        <v>82</v>
      </c>
      <c r="F6" s="3" t="s">
        <v>75</v>
      </c>
    </row>
    <row r="7" spans="1:6" x14ac:dyDescent="0.3">
      <c r="A7" s="5">
        <v>44927</v>
      </c>
      <c r="B7" s="6">
        <v>18000</v>
      </c>
      <c r="C7" s="8">
        <v>0.04</v>
      </c>
      <c r="D7" s="9">
        <v>0.91</v>
      </c>
      <c r="E7" s="10">
        <v>8</v>
      </c>
      <c r="F7" s="6">
        <v>148490</v>
      </c>
    </row>
    <row r="8" spans="1:6" x14ac:dyDescent="0.3">
      <c r="A8" s="5">
        <v>44958</v>
      </c>
      <c r="B8" s="6">
        <v>21400</v>
      </c>
      <c r="C8" s="8">
        <v>4.8000000000000001E-2</v>
      </c>
      <c r="D8" s="9">
        <v>0.95</v>
      </c>
      <c r="E8" s="10">
        <v>9</v>
      </c>
      <c r="F8" s="6">
        <v>169400</v>
      </c>
    </row>
    <row r="9" spans="1:6" x14ac:dyDescent="0.3">
      <c r="A9" s="5">
        <v>44986</v>
      </c>
      <c r="B9" s="6">
        <v>24800</v>
      </c>
      <c r="C9" s="8">
        <v>5.6000000000000001E-2</v>
      </c>
      <c r="D9" s="9">
        <v>1.02</v>
      </c>
      <c r="E9" s="10">
        <v>10</v>
      </c>
      <c r="F9" s="6">
        <v>182780</v>
      </c>
    </row>
    <row r="10" spans="1:6" x14ac:dyDescent="0.3">
      <c r="A10" s="5">
        <v>45017</v>
      </c>
      <c r="B10" s="6">
        <v>28200</v>
      </c>
      <c r="C10" s="8">
        <v>6.4000000000000001E-2</v>
      </c>
      <c r="D10" s="9">
        <v>1.08</v>
      </c>
      <c r="E10" s="10">
        <v>11</v>
      </c>
      <c r="F10" s="6">
        <v>202570</v>
      </c>
    </row>
    <row r="11" spans="1:6" x14ac:dyDescent="0.3">
      <c r="A11" s="5">
        <v>45047</v>
      </c>
      <c r="B11" s="6">
        <v>31600</v>
      </c>
      <c r="C11" s="8">
        <v>7.2000000000000008E-2</v>
      </c>
      <c r="D11" s="9">
        <v>1.1299999999999999</v>
      </c>
      <c r="E11" s="10">
        <v>12</v>
      </c>
      <c r="F11" s="6">
        <v>214970</v>
      </c>
    </row>
    <row r="12" spans="1:6" x14ac:dyDescent="0.3">
      <c r="A12" s="5">
        <v>45078</v>
      </c>
      <c r="B12" s="6">
        <v>35000</v>
      </c>
      <c r="C12" s="8">
        <v>0.08</v>
      </c>
      <c r="D12" s="9">
        <v>1.17</v>
      </c>
      <c r="E12" s="10">
        <v>8</v>
      </c>
      <c r="F12" s="6">
        <v>206780</v>
      </c>
    </row>
    <row r="13" spans="1:6" x14ac:dyDescent="0.3">
      <c r="A13" s="5">
        <v>45108</v>
      </c>
      <c r="B13" s="6">
        <v>38400</v>
      </c>
      <c r="C13" s="8">
        <v>0.04</v>
      </c>
      <c r="D13" s="9">
        <v>1.1200000000000001</v>
      </c>
      <c r="E13" s="10">
        <v>9</v>
      </c>
      <c r="F13" s="6">
        <v>232520</v>
      </c>
    </row>
    <row r="14" spans="1:6" x14ac:dyDescent="0.3">
      <c r="A14" s="5">
        <v>45139</v>
      </c>
      <c r="B14" s="6">
        <v>41800</v>
      </c>
      <c r="C14" s="8">
        <v>4.8000000000000001E-2</v>
      </c>
      <c r="D14" s="9">
        <v>1.05</v>
      </c>
      <c r="E14" s="10">
        <v>10</v>
      </c>
      <c r="F14" s="6">
        <v>241840</v>
      </c>
    </row>
    <row r="15" spans="1:6" x14ac:dyDescent="0.3">
      <c r="A15" s="5">
        <v>45170</v>
      </c>
      <c r="B15" s="6">
        <v>45200</v>
      </c>
      <c r="C15" s="8">
        <v>5.6000000000000001E-2</v>
      </c>
      <c r="D15" s="9">
        <v>0.98</v>
      </c>
      <c r="E15" s="10">
        <v>11</v>
      </c>
      <c r="F15" s="6">
        <v>257860</v>
      </c>
    </row>
    <row r="16" spans="1:6" x14ac:dyDescent="0.3">
      <c r="A16" s="5">
        <v>45200</v>
      </c>
      <c r="B16" s="6">
        <v>48600</v>
      </c>
      <c r="C16" s="8">
        <v>6.4000000000000001E-2</v>
      </c>
      <c r="D16" s="9">
        <v>0.94</v>
      </c>
      <c r="E16" s="10">
        <v>12</v>
      </c>
      <c r="F16" s="6">
        <v>267650</v>
      </c>
    </row>
    <row r="17" spans="1:6" x14ac:dyDescent="0.3">
      <c r="A17" s="5">
        <v>45231</v>
      </c>
      <c r="B17" s="6">
        <v>19100</v>
      </c>
      <c r="C17" s="8">
        <v>7.2000000000000008E-2</v>
      </c>
      <c r="D17" s="9">
        <v>0.97</v>
      </c>
      <c r="E17" s="10">
        <v>8</v>
      </c>
      <c r="F17" s="6">
        <v>148955</v>
      </c>
    </row>
    <row r="18" spans="1:6" x14ac:dyDescent="0.3">
      <c r="A18" s="5">
        <v>45261</v>
      </c>
      <c r="B18" s="6">
        <v>22500</v>
      </c>
      <c r="C18" s="8">
        <v>0.08</v>
      </c>
      <c r="D18" s="9">
        <v>1.1000000000000001</v>
      </c>
      <c r="E18" s="10">
        <v>9</v>
      </c>
      <c r="F18" s="6">
        <v>172475</v>
      </c>
    </row>
    <row r="19" spans="1:6" x14ac:dyDescent="0.3">
      <c r="A19" s="5">
        <v>45292</v>
      </c>
      <c r="B19" s="6">
        <v>25900</v>
      </c>
      <c r="C19" s="8">
        <v>0.04</v>
      </c>
      <c r="D19" s="9">
        <v>0.91</v>
      </c>
      <c r="E19" s="10">
        <v>10</v>
      </c>
      <c r="F19" s="6">
        <v>185755</v>
      </c>
    </row>
    <row r="20" spans="1:6" x14ac:dyDescent="0.3">
      <c r="A20" s="5">
        <v>45323</v>
      </c>
      <c r="B20" s="6">
        <v>29300</v>
      </c>
      <c r="C20" s="8">
        <v>4.8000000000000001E-2</v>
      </c>
      <c r="D20" s="9">
        <v>0.95</v>
      </c>
      <c r="E20" s="10">
        <v>11</v>
      </c>
      <c r="F20" s="6">
        <v>204965</v>
      </c>
    </row>
    <row r="21" spans="1:6" x14ac:dyDescent="0.3">
      <c r="A21" s="5">
        <v>45352</v>
      </c>
      <c r="B21" s="6">
        <v>32700</v>
      </c>
      <c r="C21" s="8">
        <v>5.6000000000000001E-2</v>
      </c>
      <c r="D21" s="9">
        <v>1.02</v>
      </c>
      <c r="E21" s="10">
        <v>12</v>
      </c>
      <c r="F21" s="6">
        <v>217945</v>
      </c>
    </row>
    <row r="22" spans="1:6" x14ac:dyDescent="0.3">
      <c r="A22" s="5">
        <v>45383</v>
      </c>
      <c r="B22" s="6">
        <v>36100</v>
      </c>
      <c r="C22" s="8">
        <v>6.4000000000000001E-2</v>
      </c>
      <c r="D22" s="9">
        <v>1.08</v>
      </c>
      <c r="E22" s="10">
        <v>8</v>
      </c>
      <c r="F22" s="6">
        <v>210335</v>
      </c>
    </row>
    <row r="23" spans="1:6" x14ac:dyDescent="0.3">
      <c r="A23" s="5">
        <v>45413</v>
      </c>
      <c r="B23" s="6">
        <v>39500</v>
      </c>
      <c r="C23" s="8">
        <v>7.2000000000000008E-2</v>
      </c>
      <c r="D23" s="9">
        <v>1.1299999999999999</v>
      </c>
      <c r="E23" s="10">
        <v>9</v>
      </c>
      <c r="F23" s="6">
        <v>231535</v>
      </c>
    </row>
    <row r="24" spans="1:6" x14ac:dyDescent="0.3">
      <c r="A24" s="5">
        <v>45444</v>
      </c>
      <c r="B24" s="6">
        <v>42900</v>
      </c>
      <c r="C24" s="8">
        <v>0.08</v>
      </c>
      <c r="D24" s="9">
        <v>1.17</v>
      </c>
      <c r="E24" s="10">
        <v>10</v>
      </c>
      <c r="F24" s="6">
        <v>244045</v>
      </c>
    </row>
    <row r="25" spans="1:6" x14ac:dyDescent="0.3">
      <c r="A25" s="5">
        <v>45474</v>
      </c>
      <c r="B25" s="6">
        <v>46300</v>
      </c>
      <c r="C25" s="8">
        <v>0.04</v>
      </c>
      <c r="D25" s="9">
        <v>1.1200000000000001</v>
      </c>
      <c r="E25" s="10">
        <v>11</v>
      </c>
      <c r="F25" s="6">
        <v>268085</v>
      </c>
    </row>
    <row r="26" spans="1:6" x14ac:dyDescent="0.3">
      <c r="A26" s="5">
        <v>45505</v>
      </c>
      <c r="B26" s="6">
        <v>49700</v>
      </c>
      <c r="C26" s="8">
        <v>4.8000000000000001E-2</v>
      </c>
      <c r="D26" s="9">
        <v>1.05</v>
      </c>
      <c r="E26" s="10">
        <v>12</v>
      </c>
      <c r="F26" s="6">
        <v>277005</v>
      </c>
    </row>
    <row r="27" spans="1:6" x14ac:dyDescent="0.3">
      <c r="A27" s="5">
        <v>45536</v>
      </c>
      <c r="B27" s="6">
        <v>20200</v>
      </c>
      <c r="C27" s="8">
        <v>5.6000000000000001E-2</v>
      </c>
      <c r="D27" s="9">
        <v>0.98</v>
      </c>
      <c r="E27" s="10">
        <v>8</v>
      </c>
      <c r="F27" s="6">
        <v>155410</v>
      </c>
    </row>
    <row r="28" spans="1:6" x14ac:dyDescent="0.3">
      <c r="A28" s="5">
        <v>45566</v>
      </c>
      <c r="B28" s="6">
        <v>23600</v>
      </c>
      <c r="C28" s="8">
        <v>6.4000000000000001E-2</v>
      </c>
      <c r="D28" s="9">
        <v>0.94</v>
      </c>
      <c r="E28" s="10">
        <v>9</v>
      </c>
      <c r="F28" s="6">
        <v>174000</v>
      </c>
    </row>
    <row r="29" spans="1:6" x14ac:dyDescent="0.3">
      <c r="A29" s="5">
        <v>45597</v>
      </c>
      <c r="B29" s="6">
        <v>27000</v>
      </c>
      <c r="C29" s="8">
        <v>7.2000000000000008E-2</v>
      </c>
      <c r="D29" s="9">
        <v>0.97</v>
      </c>
      <c r="E29" s="10">
        <v>10</v>
      </c>
      <c r="F29" s="6">
        <v>186220</v>
      </c>
    </row>
    <row r="30" spans="1:6" x14ac:dyDescent="0.3">
      <c r="A30" s="5">
        <v>45627</v>
      </c>
      <c r="B30" s="6">
        <v>30400</v>
      </c>
      <c r="C30" s="8">
        <v>0.08</v>
      </c>
      <c r="D30" s="9">
        <v>1.1000000000000001</v>
      </c>
      <c r="E30" s="10">
        <v>11</v>
      </c>
      <c r="F30" s="6">
        <v>208040</v>
      </c>
    </row>
    <row r="31" spans="1:6" x14ac:dyDescent="0.3">
      <c r="A31" s="5">
        <v>45658</v>
      </c>
      <c r="B31" s="6">
        <v>33800</v>
      </c>
      <c r="C31" s="8">
        <v>0.04</v>
      </c>
      <c r="D31" s="9">
        <v>0.91</v>
      </c>
      <c r="E31" s="10">
        <v>12</v>
      </c>
      <c r="F31" s="6">
        <v>220920</v>
      </c>
    </row>
    <row r="32" spans="1:6" x14ac:dyDescent="0.3">
      <c r="A32" s="5">
        <v>45689</v>
      </c>
      <c r="B32" s="6">
        <v>37200</v>
      </c>
      <c r="C32" s="8">
        <v>4.8000000000000001E-2</v>
      </c>
      <c r="D32" s="9">
        <v>0.95</v>
      </c>
      <c r="E32" s="10">
        <v>8</v>
      </c>
      <c r="F32" s="6">
        <v>212730</v>
      </c>
    </row>
    <row r="33" spans="1:6" x14ac:dyDescent="0.3">
      <c r="A33" s="5">
        <v>45717</v>
      </c>
      <c r="B33" s="6">
        <v>40600</v>
      </c>
      <c r="C33" s="8">
        <v>5.6000000000000001E-2</v>
      </c>
      <c r="D33" s="9">
        <v>1.02</v>
      </c>
      <c r="E33" s="10">
        <v>9</v>
      </c>
      <c r="F33" s="6">
        <v>234510</v>
      </c>
    </row>
    <row r="34" spans="1:6" x14ac:dyDescent="0.3">
      <c r="A34" s="5">
        <v>45748</v>
      </c>
      <c r="B34" s="6">
        <v>44000</v>
      </c>
      <c r="C34" s="8">
        <v>6.4000000000000001E-2</v>
      </c>
      <c r="D34" s="9">
        <v>1.08</v>
      </c>
      <c r="E34" s="10">
        <v>10</v>
      </c>
      <c r="F34" s="6">
        <v>247600</v>
      </c>
    </row>
    <row r="35" spans="1:6" x14ac:dyDescent="0.3">
      <c r="A35" s="5">
        <v>45778</v>
      </c>
      <c r="B35" s="6">
        <v>47400</v>
      </c>
      <c r="C35" s="8">
        <v>7.2000000000000008E-2</v>
      </c>
      <c r="D35" s="9">
        <v>1.1299999999999999</v>
      </c>
      <c r="E35" s="10">
        <v>11</v>
      </c>
      <c r="F35" s="6">
        <v>267100</v>
      </c>
    </row>
    <row r="36" spans="1:6" x14ac:dyDescent="0.3">
      <c r="A36" s="5">
        <v>45809</v>
      </c>
      <c r="B36" s="6">
        <v>50800</v>
      </c>
      <c r="C36" s="8">
        <v>0.08</v>
      </c>
      <c r="D36" s="9">
        <v>1.17</v>
      </c>
      <c r="E36" s="10">
        <v>12</v>
      </c>
      <c r="F36" s="6">
        <v>279210</v>
      </c>
    </row>
  </sheetData>
  <autoFilter ref="A6:F36" xr:uid="{00000000-0009-0000-0000-000004000000}"/>
  <mergeCells count="4">
    <mergeCell ref="B4:F4"/>
    <mergeCell ref="A2:F2"/>
    <mergeCell ref="A1:F1"/>
    <mergeCell ref="B3:F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F30"/>
  <sheetViews>
    <sheetView showGridLines="0" workbookViewId="0">
      <pane ySplit="6" topLeftCell="A7" activePane="bottomLeft" state="frozen"/>
      <selection pane="bottomLeft" sqref="A1:F1"/>
    </sheetView>
  </sheetViews>
  <sheetFormatPr defaultRowHeight="14.4" x14ac:dyDescent="0.3"/>
  <cols>
    <col min="1" max="1" width="18" customWidth="1"/>
    <col min="2" max="2" width="20" customWidth="1"/>
    <col min="3" max="3" width="21" customWidth="1"/>
    <col min="4" max="4" width="18" customWidth="1"/>
  </cols>
  <sheetData>
    <row r="1" spans="1:6" ht="28.05" customHeight="1" x14ac:dyDescent="0.3">
      <c r="A1" s="14" t="s">
        <v>83</v>
      </c>
      <c r="B1" s="13"/>
      <c r="C1" s="13"/>
      <c r="D1" s="13"/>
      <c r="E1" s="13"/>
      <c r="F1" s="13"/>
    </row>
    <row r="2" spans="1:6" ht="30" customHeight="1" x14ac:dyDescent="0.3">
      <c r="A2" s="12" t="s">
        <v>68</v>
      </c>
      <c r="B2" s="13"/>
      <c r="C2" s="13"/>
      <c r="D2" s="13"/>
      <c r="E2" s="13"/>
      <c r="F2" s="13"/>
    </row>
    <row r="3" spans="1:6" ht="43.05" customHeight="1" x14ac:dyDescent="0.3">
      <c r="A3" s="4" t="s">
        <v>69</v>
      </c>
      <c r="B3" s="15" t="s">
        <v>84</v>
      </c>
      <c r="C3" s="16"/>
      <c r="D3" s="16"/>
    </row>
    <row r="4" spans="1:6" ht="43.05" customHeight="1" x14ac:dyDescent="0.3">
      <c r="A4" s="4" t="s">
        <v>71</v>
      </c>
      <c r="B4" s="15" t="s">
        <v>85</v>
      </c>
      <c r="C4" s="16"/>
      <c r="D4" s="16"/>
    </row>
    <row r="5" spans="1:6" ht="7.95" customHeight="1" x14ac:dyDescent="0.3"/>
    <row r="6" spans="1:6" ht="34.049999999999997" customHeight="1" x14ac:dyDescent="0.3">
      <c r="A6" s="3" t="s">
        <v>86</v>
      </c>
      <c r="B6" s="3" t="s">
        <v>87</v>
      </c>
      <c r="C6" s="3" t="s">
        <v>74</v>
      </c>
      <c r="D6" s="3" t="s">
        <v>88</v>
      </c>
    </row>
    <row r="7" spans="1:6" x14ac:dyDescent="0.3">
      <c r="A7" s="7" t="s">
        <v>89</v>
      </c>
      <c r="B7" s="7" t="s">
        <v>90</v>
      </c>
      <c r="C7" s="6">
        <v>9000</v>
      </c>
      <c r="D7" s="6">
        <v>77700</v>
      </c>
      <c r="E7" s="7"/>
      <c r="F7" s="7"/>
    </row>
    <row r="8" spans="1:6" x14ac:dyDescent="0.3">
      <c r="A8" s="7" t="s">
        <v>91</v>
      </c>
      <c r="B8" s="7" t="s">
        <v>90</v>
      </c>
      <c r="C8" s="6">
        <v>11600</v>
      </c>
      <c r="D8" s="6">
        <v>91280</v>
      </c>
      <c r="E8" s="7"/>
      <c r="F8" s="7"/>
    </row>
    <row r="9" spans="1:6" x14ac:dyDescent="0.3">
      <c r="A9" s="7" t="s">
        <v>92</v>
      </c>
      <c r="B9" s="7" t="s">
        <v>90</v>
      </c>
      <c r="C9" s="6">
        <v>14200</v>
      </c>
      <c r="D9" s="6">
        <v>99060</v>
      </c>
      <c r="E9" s="7"/>
      <c r="F9" s="7"/>
    </row>
    <row r="10" spans="1:6" x14ac:dyDescent="0.3">
      <c r="A10" s="7" t="s">
        <v>93</v>
      </c>
      <c r="B10" s="7" t="s">
        <v>90</v>
      </c>
      <c r="C10" s="6">
        <v>16800</v>
      </c>
      <c r="D10" s="6">
        <v>111640</v>
      </c>
      <c r="E10" s="7"/>
      <c r="F10" s="7"/>
    </row>
    <row r="11" spans="1:6" x14ac:dyDescent="0.3">
      <c r="A11" s="7" t="s">
        <v>94</v>
      </c>
      <c r="B11" s="7" t="s">
        <v>90</v>
      </c>
      <c r="C11" s="6">
        <v>19400</v>
      </c>
      <c r="D11" s="6">
        <v>118420</v>
      </c>
      <c r="E11" s="7"/>
      <c r="F11" s="7"/>
    </row>
    <row r="12" spans="1:6" x14ac:dyDescent="0.3">
      <c r="A12" s="7" t="s">
        <v>95</v>
      </c>
      <c r="B12" s="7" t="s">
        <v>90</v>
      </c>
      <c r="C12" s="6">
        <v>22000</v>
      </c>
      <c r="D12" s="6">
        <v>130200</v>
      </c>
      <c r="E12" s="7"/>
      <c r="F12" s="7"/>
    </row>
    <row r="13" spans="1:6" x14ac:dyDescent="0.3">
      <c r="A13" s="7" t="s">
        <v>96</v>
      </c>
      <c r="B13" s="7" t="s">
        <v>90</v>
      </c>
      <c r="C13" s="6">
        <v>24600</v>
      </c>
      <c r="D13" s="6">
        <v>136980</v>
      </c>
      <c r="E13" s="7"/>
      <c r="F13" s="7"/>
    </row>
    <row r="14" spans="1:6" x14ac:dyDescent="0.3">
      <c r="A14" s="7" t="s">
        <v>97</v>
      </c>
      <c r="B14" s="7" t="s">
        <v>90</v>
      </c>
      <c r="C14" s="6">
        <v>27200</v>
      </c>
      <c r="D14" s="6">
        <v>150560</v>
      </c>
      <c r="E14" s="7"/>
      <c r="F14" s="7"/>
    </row>
    <row r="15" spans="1:6" x14ac:dyDescent="0.3">
      <c r="A15" s="7" t="s">
        <v>98</v>
      </c>
      <c r="B15" s="7" t="s">
        <v>90</v>
      </c>
      <c r="C15" s="6">
        <v>9000</v>
      </c>
      <c r="D15" s="6">
        <v>79300</v>
      </c>
      <c r="E15" s="7"/>
      <c r="F15" s="7"/>
    </row>
    <row r="16" spans="1:6" x14ac:dyDescent="0.3">
      <c r="A16" s="7" t="s">
        <v>99</v>
      </c>
      <c r="B16" s="7" t="s">
        <v>90</v>
      </c>
      <c r="C16" s="6">
        <v>11600</v>
      </c>
      <c r="D16" s="6">
        <v>91880</v>
      </c>
      <c r="E16" s="7"/>
      <c r="F16" s="7"/>
    </row>
    <row r="17" spans="1:6" x14ac:dyDescent="0.3">
      <c r="A17" s="7" t="s">
        <v>100</v>
      </c>
      <c r="B17" s="7" t="s">
        <v>90</v>
      </c>
      <c r="C17" s="6">
        <v>14200</v>
      </c>
      <c r="D17" s="6">
        <v>98660</v>
      </c>
      <c r="E17" s="7"/>
      <c r="F17" s="7"/>
    </row>
    <row r="18" spans="1:6" x14ac:dyDescent="0.3">
      <c r="A18" s="7" t="s">
        <v>101</v>
      </c>
      <c r="B18" s="7" t="s">
        <v>90</v>
      </c>
      <c r="C18" s="6">
        <v>16800</v>
      </c>
      <c r="D18" s="6">
        <v>110440</v>
      </c>
      <c r="E18" s="7"/>
      <c r="F18" s="7"/>
    </row>
    <row r="19" spans="1:6" x14ac:dyDescent="0.3">
      <c r="A19" s="7" t="s">
        <v>102</v>
      </c>
      <c r="B19" s="7" t="s">
        <v>90</v>
      </c>
      <c r="C19" s="6">
        <v>19400</v>
      </c>
      <c r="D19" s="6">
        <v>117220</v>
      </c>
      <c r="E19" s="7"/>
      <c r="F19" s="7"/>
    </row>
    <row r="20" spans="1:6" x14ac:dyDescent="0.3">
      <c r="A20" s="7" t="s">
        <v>103</v>
      </c>
      <c r="B20" s="7" t="s">
        <v>90</v>
      </c>
      <c r="C20" s="6">
        <v>22000</v>
      </c>
      <c r="D20" s="6">
        <v>130800</v>
      </c>
      <c r="E20" s="7"/>
      <c r="F20" s="7"/>
    </row>
    <row r="21" spans="1:6" x14ac:dyDescent="0.3">
      <c r="A21" s="7" t="s">
        <v>104</v>
      </c>
      <c r="B21" s="7" t="s">
        <v>90</v>
      </c>
      <c r="C21" s="6">
        <v>24600</v>
      </c>
      <c r="D21" s="6">
        <v>138580</v>
      </c>
      <c r="E21" s="7"/>
      <c r="F21" s="7"/>
    </row>
    <row r="22" spans="1:6" x14ac:dyDescent="0.3">
      <c r="A22" s="7" t="s">
        <v>105</v>
      </c>
      <c r="B22" s="7" t="s">
        <v>90</v>
      </c>
      <c r="C22" s="6">
        <v>27200</v>
      </c>
      <c r="D22" s="6">
        <v>151160</v>
      </c>
      <c r="E22" s="7"/>
      <c r="F22" s="7"/>
    </row>
    <row r="23" spans="1:6" x14ac:dyDescent="0.3">
      <c r="A23" s="7" t="s">
        <v>106</v>
      </c>
      <c r="B23" s="7" t="s">
        <v>90</v>
      </c>
      <c r="C23" s="6">
        <v>9000</v>
      </c>
      <c r="D23" s="6">
        <v>78900</v>
      </c>
      <c r="E23" s="7"/>
      <c r="F23" s="7"/>
    </row>
    <row r="24" spans="1:6" x14ac:dyDescent="0.3">
      <c r="A24" s="7" t="s">
        <v>107</v>
      </c>
      <c r="B24" s="7" t="s">
        <v>90</v>
      </c>
      <c r="C24" s="6">
        <v>11600</v>
      </c>
      <c r="D24" s="6">
        <v>90680</v>
      </c>
      <c r="E24" s="7"/>
      <c r="F24" s="7"/>
    </row>
    <row r="25" spans="1:6" x14ac:dyDescent="0.3">
      <c r="A25" s="7" t="s">
        <v>108</v>
      </c>
      <c r="B25" s="7" t="s">
        <v>90</v>
      </c>
      <c r="C25" s="6">
        <v>14200</v>
      </c>
      <c r="D25" s="6">
        <v>97460</v>
      </c>
      <c r="E25" s="7"/>
      <c r="F25" s="7"/>
    </row>
    <row r="26" spans="1:6" x14ac:dyDescent="0.3">
      <c r="A26" s="7" t="s">
        <v>109</v>
      </c>
      <c r="B26" s="7" t="s">
        <v>90</v>
      </c>
      <c r="C26" s="6">
        <v>16800</v>
      </c>
      <c r="D26" s="6">
        <v>111040</v>
      </c>
      <c r="E26" s="7"/>
      <c r="F26" s="7"/>
    </row>
    <row r="27" spans="1:6" x14ac:dyDescent="0.3">
      <c r="A27" s="7" t="s">
        <v>110</v>
      </c>
      <c r="B27" s="7" t="s">
        <v>90</v>
      </c>
      <c r="C27" s="6">
        <v>19400</v>
      </c>
      <c r="D27" s="6">
        <v>118820</v>
      </c>
      <c r="E27" s="7"/>
      <c r="F27" s="7"/>
    </row>
    <row r="28" spans="1:6" x14ac:dyDescent="0.3">
      <c r="A28" s="7" t="s">
        <v>111</v>
      </c>
      <c r="B28" s="7" t="s">
        <v>112</v>
      </c>
      <c r="C28" s="6">
        <v>105000</v>
      </c>
      <c r="D28" s="6">
        <v>1180000</v>
      </c>
      <c r="E28" s="7"/>
      <c r="F28" s="7"/>
    </row>
    <row r="29" spans="1:6" x14ac:dyDescent="0.3">
      <c r="A29" s="7" t="s">
        <v>113</v>
      </c>
      <c r="B29" s="7" t="s">
        <v>90</v>
      </c>
      <c r="C29" s="6">
        <v>24600</v>
      </c>
      <c r="D29" s="6">
        <v>138180</v>
      </c>
      <c r="E29" s="7"/>
      <c r="F29" s="7"/>
    </row>
    <row r="30" spans="1:6" x14ac:dyDescent="0.3">
      <c r="A30" s="7" t="s">
        <v>114</v>
      </c>
      <c r="B30" s="7" t="s">
        <v>90</v>
      </c>
      <c r="C30" s="6">
        <v>27200</v>
      </c>
      <c r="D30" s="6">
        <v>149960</v>
      </c>
      <c r="E30" s="7"/>
      <c r="F30" s="7"/>
    </row>
  </sheetData>
  <autoFilter ref="A6:D30" xr:uid="{00000000-0009-0000-0000-000005000000}"/>
  <mergeCells count="4">
    <mergeCell ref="A2:F2"/>
    <mergeCell ref="B3:D3"/>
    <mergeCell ref="A1:F1"/>
    <mergeCell ref="B4:D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F36"/>
  <sheetViews>
    <sheetView showGridLines="0" workbookViewId="0">
      <pane ySplit="6" topLeftCell="A7" activePane="bottomLeft" state="frozen"/>
      <selection pane="bottomLeft" activeCell="F16" sqref="F16"/>
    </sheetView>
  </sheetViews>
  <sheetFormatPr defaultRowHeight="14.4" x14ac:dyDescent="0.3"/>
  <cols>
    <col min="1" max="1" width="16" customWidth="1"/>
    <col min="2" max="2" width="21" customWidth="1"/>
    <col min="3" max="3" width="24" customWidth="1"/>
    <col min="4" max="4" width="27" customWidth="1"/>
    <col min="5" max="5" width="18" customWidth="1"/>
  </cols>
  <sheetData>
    <row r="1" spans="1:6" ht="28.05" customHeight="1" x14ac:dyDescent="0.3">
      <c r="A1" s="14" t="s">
        <v>115</v>
      </c>
      <c r="B1" s="13"/>
      <c r="C1" s="13"/>
      <c r="D1" s="13"/>
      <c r="E1" s="13"/>
      <c r="F1" s="13"/>
    </row>
    <row r="2" spans="1:6" ht="30" customHeight="1" x14ac:dyDescent="0.3">
      <c r="A2" s="12" t="s">
        <v>68</v>
      </c>
      <c r="B2" s="13"/>
      <c r="C2" s="13"/>
      <c r="D2" s="13"/>
      <c r="E2" s="13"/>
      <c r="F2" s="13"/>
    </row>
    <row r="3" spans="1:6" ht="43.05" customHeight="1" x14ac:dyDescent="0.3">
      <c r="A3" s="4" t="s">
        <v>69</v>
      </c>
      <c r="B3" s="15" t="s">
        <v>116</v>
      </c>
      <c r="C3" s="16"/>
      <c r="D3" s="16"/>
      <c r="E3" s="16"/>
    </row>
    <row r="4" spans="1:6" ht="43.05" customHeight="1" x14ac:dyDescent="0.3">
      <c r="A4" s="4" t="s">
        <v>71</v>
      </c>
      <c r="B4" s="15" t="s">
        <v>117</v>
      </c>
      <c r="C4" s="16"/>
      <c r="D4" s="16"/>
      <c r="E4" s="16"/>
    </row>
    <row r="5" spans="1:6" ht="7.95" customHeight="1" x14ac:dyDescent="0.3"/>
    <row r="6" spans="1:6" ht="34.049999999999997" customHeight="1" x14ac:dyDescent="0.3">
      <c r="A6" s="3" t="s">
        <v>118</v>
      </c>
      <c r="B6" s="3" t="s">
        <v>119</v>
      </c>
      <c r="C6" s="3" t="s">
        <v>120</v>
      </c>
      <c r="D6" s="3" t="s">
        <v>121</v>
      </c>
      <c r="E6" s="3" t="s">
        <v>75</v>
      </c>
    </row>
    <row r="7" spans="1:6" x14ac:dyDescent="0.3">
      <c r="A7" s="7" t="s">
        <v>122</v>
      </c>
      <c r="B7" s="6">
        <v>16000</v>
      </c>
      <c r="C7" s="11">
        <v>255</v>
      </c>
      <c r="D7" s="11">
        <v>501</v>
      </c>
      <c r="E7" s="6">
        <v>112000</v>
      </c>
      <c r="F7" s="7"/>
    </row>
    <row r="8" spans="1:6" x14ac:dyDescent="0.3">
      <c r="A8" s="7" t="s">
        <v>123</v>
      </c>
      <c r="B8" s="6">
        <v>17450</v>
      </c>
      <c r="C8" s="11">
        <v>283</v>
      </c>
      <c r="D8" s="11">
        <v>550</v>
      </c>
      <c r="E8" s="6">
        <v>119342</v>
      </c>
      <c r="F8" s="7"/>
    </row>
    <row r="9" spans="1:6" x14ac:dyDescent="0.3">
      <c r="A9" s="7" t="s">
        <v>124</v>
      </c>
      <c r="B9" s="6">
        <v>18900</v>
      </c>
      <c r="C9" s="11">
        <v>305</v>
      </c>
      <c r="D9" s="11">
        <v>596</v>
      </c>
      <c r="E9" s="6">
        <v>121385</v>
      </c>
      <c r="F9" s="7"/>
    </row>
    <row r="10" spans="1:6" x14ac:dyDescent="0.3">
      <c r="A10" s="7" t="s">
        <v>125</v>
      </c>
      <c r="B10" s="6">
        <v>19600</v>
      </c>
      <c r="C10" s="11">
        <v>317</v>
      </c>
      <c r="D10" s="11">
        <v>617</v>
      </c>
      <c r="E10" s="6">
        <v>125740</v>
      </c>
      <c r="F10" s="7"/>
    </row>
    <row r="11" spans="1:6" x14ac:dyDescent="0.3">
      <c r="A11" s="7" t="s">
        <v>126</v>
      </c>
      <c r="B11" s="6">
        <v>21050</v>
      </c>
      <c r="C11" s="11">
        <v>338</v>
      </c>
      <c r="D11" s="11">
        <v>662</v>
      </c>
      <c r="E11" s="6">
        <v>126882</v>
      </c>
      <c r="F11" s="7"/>
    </row>
    <row r="12" spans="1:6" x14ac:dyDescent="0.3">
      <c r="A12" s="7" t="s">
        <v>127</v>
      </c>
      <c r="B12" s="6">
        <v>22500</v>
      </c>
      <c r="C12" s="11">
        <v>360</v>
      </c>
      <c r="D12" s="11">
        <v>699</v>
      </c>
      <c r="E12" s="6">
        <v>129225</v>
      </c>
      <c r="F12" s="7"/>
    </row>
    <row r="13" spans="1:6" x14ac:dyDescent="0.3">
      <c r="A13" s="7" t="s">
        <v>128</v>
      </c>
      <c r="B13" s="6">
        <v>23200</v>
      </c>
      <c r="C13" s="11">
        <v>376</v>
      </c>
      <c r="D13" s="11">
        <v>736</v>
      </c>
      <c r="E13" s="6">
        <v>134580</v>
      </c>
      <c r="F13" s="7"/>
    </row>
    <row r="14" spans="1:6" x14ac:dyDescent="0.3">
      <c r="A14" s="7" t="s">
        <v>129</v>
      </c>
      <c r="B14" s="6">
        <v>24650</v>
      </c>
      <c r="C14" s="11">
        <v>398</v>
      </c>
      <c r="D14" s="11">
        <v>774</v>
      </c>
      <c r="E14" s="6">
        <v>136622</v>
      </c>
      <c r="F14" s="7"/>
    </row>
    <row r="15" spans="1:6" x14ac:dyDescent="0.3">
      <c r="A15" s="7" t="s">
        <v>130</v>
      </c>
      <c r="B15" s="6">
        <v>26100</v>
      </c>
      <c r="C15" s="11">
        <v>422</v>
      </c>
      <c r="D15" s="11">
        <v>827</v>
      </c>
      <c r="E15" s="6">
        <v>142965</v>
      </c>
      <c r="F15" s="7"/>
    </row>
    <row r="16" spans="1:6" x14ac:dyDescent="0.3">
      <c r="A16" s="7" t="s">
        <v>131</v>
      </c>
      <c r="B16" s="6">
        <v>26800</v>
      </c>
      <c r="C16" s="11">
        <v>430</v>
      </c>
      <c r="D16" s="11">
        <v>836</v>
      </c>
      <c r="E16" s="6">
        <v>142120</v>
      </c>
      <c r="F16" s="7"/>
    </row>
    <row r="17" spans="1:6" x14ac:dyDescent="0.3">
      <c r="A17" s="7" t="s">
        <v>132</v>
      </c>
      <c r="B17" s="6">
        <v>28250</v>
      </c>
      <c r="C17" s="11">
        <v>453</v>
      </c>
      <c r="D17" s="11">
        <v>885</v>
      </c>
      <c r="E17" s="6">
        <v>144462</v>
      </c>
      <c r="F17" s="7"/>
    </row>
    <row r="18" spans="1:6" x14ac:dyDescent="0.3">
      <c r="A18" s="7" t="s">
        <v>133</v>
      </c>
      <c r="B18" s="6">
        <v>29700</v>
      </c>
      <c r="C18" s="11">
        <v>481</v>
      </c>
      <c r="D18" s="11">
        <v>937</v>
      </c>
      <c r="E18" s="6">
        <v>151805</v>
      </c>
      <c r="F18" s="7"/>
    </row>
    <row r="19" spans="1:6" x14ac:dyDescent="0.3">
      <c r="A19" s="7" t="s">
        <v>134</v>
      </c>
      <c r="B19" s="6">
        <v>30400</v>
      </c>
      <c r="C19" s="11">
        <v>490</v>
      </c>
      <c r="D19" s="11">
        <v>960</v>
      </c>
      <c r="E19" s="6">
        <v>151860</v>
      </c>
      <c r="F19" s="7"/>
    </row>
    <row r="20" spans="1:6" x14ac:dyDescent="0.3">
      <c r="A20" s="7" t="s">
        <v>135</v>
      </c>
      <c r="B20" s="6">
        <v>31850</v>
      </c>
      <c r="C20" s="11">
        <v>515</v>
      </c>
      <c r="D20" s="11">
        <v>1001</v>
      </c>
      <c r="E20" s="6">
        <v>158202</v>
      </c>
      <c r="F20" s="7"/>
    </row>
    <row r="21" spans="1:6" x14ac:dyDescent="0.3">
      <c r="A21" s="7" t="s">
        <v>136</v>
      </c>
      <c r="B21" s="6">
        <v>33300</v>
      </c>
      <c r="C21" s="11">
        <v>535</v>
      </c>
      <c r="D21" s="11">
        <v>1045</v>
      </c>
      <c r="E21" s="6">
        <v>159345</v>
      </c>
      <c r="F21" s="7"/>
    </row>
    <row r="22" spans="1:6" x14ac:dyDescent="0.3">
      <c r="A22" s="7" t="s">
        <v>137</v>
      </c>
      <c r="B22" s="6">
        <v>34000</v>
      </c>
      <c r="C22" s="11">
        <v>545</v>
      </c>
      <c r="D22" s="11">
        <v>1063</v>
      </c>
      <c r="E22" s="6">
        <v>159700</v>
      </c>
      <c r="F22" s="7"/>
    </row>
    <row r="23" spans="1:6" x14ac:dyDescent="0.3">
      <c r="A23" s="7" t="s">
        <v>138</v>
      </c>
      <c r="B23" s="6">
        <v>35450</v>
      </c>
      <c r="C23" s="11">
        <v>574</v>
      </c>
      <c r="D23" s="11">
        <v>1123</v>
      </c>
      <c r="E23" s="6">
        <v>167042</v>
      </c>
      <c r="F23" s="7"/>
    </row>
    <row r="24" spans="1:6" x14ac:dyDescent="0.3">
      <c r="A24" s="7" t="s">
        <v>139</v>
      </c>
      <c r="B24" s="6">
        <v>36900</v>
      </c>
      <c r="C24" s="11">
        <v>595</v>
      </c>
      <c r="D24" s="11">
        <v>1158</v>
      </c>
      <c r="E24" s="6">
        <v>169085</v>
      </c>
      <c r="F24" s="7"/>
    </row>
    <row r="25" spans="1:6" x14ac:dyDescent="0.3">
      <c r="A25" s="7" t="s">
        <v>140</v>
      </c>
      <c r="B25" s="6">
        <v>37600</v>
      </c>
      <c r="C25" s="11">
        <v>607</v>
      </c>
      <c r="D25" s="11">
        <v>1187</v>
      </c>
      <c r="E25" s="6">
        <v>173440</v>
      </c>
      <c r="F25" s="7"/>
    </row>
    <row r="26" spans="1:6" x14ac:dyDescent="0.3">
      <c r="A26" s="7" t="s">
        <v>141</v>
      </c>
      <c r="B26" s="6">
        <v>39050</v>
      </c>
      <c r="C26" s="11">
        <v>628</v>
      </c>
      <c r="D26" s="11">
        <v>1223</v>
      </c>
      <c r="E26" s="6">
        <v>174582</v>
      </c>
      <c r="F26" s="7"/>
    </row>
    <row r="27" spans="1:6" x14ac:dyDescent="0.3">
      <c r="A27" s="7" t="s">
        <v>142</v>
      </c>
      <c r="B27" s="6">
        <v>40500</v>
      </c>
      <c r="C27" s="11">
        <v>650</v>
      </c>
      <c r="D27" s="11">
        <v>1272</v>
      </c>
      <c r="E27" s="6">
        <v>176925</v>
      </c>
      <c r="F27" s="7"/>
    </row>
    <row r="28" spans="1:6" x14ac:dyDescent="0.3">
      <c r="A28" s="7" t="s">
        <v>143</v>
      </c>
      <c r="B28" s="6">
        <v>41200</v>
      </c>
      <c r="C28" s="11">
        <v>667</v>
      </c>
      <c r="D28" s="11">
        <v>1297</v>
      </c>
      <c r="E28" s="6">
        <v>182280</v>
      </c>
      <c r="F28" s="7"/>
    </row>
    <row r="29" spans="1:6" x14ac:dyDescent="0.3">
      <c r="A29" s="7" t="s">
        <v>144</v>
      </c>
      <c r="B29" s="6">
        <v>42650</v>
      </c>
      <c r="C29" s="11">
        <v>688</v>
      </c>
      <c r="D29" s="11">
        <v>1343</v>
      </c>
      <c r="E29" s="6">
        <v>184322</v>
      </c>
      <c r="F29" s="7"/>
    </row>
    <row r="30" spans="1:6" x14ac:dyDescent="0.3">
      <c r="A30" s="7" t="s">
        <v>145</v>
      </c>
      <c r="B30" s="6">
        <v>44100</v>
      </c>
      <c r="C30" s="11">
        <v>712</v>
      </c>
      <c r="D30" s="11">
        <v>1388</v>
      </c>
      <c r="E30" s="6">
        <v>190665</v>
      </c>
      <c r="F30" s="7"/>
    </row>
    <row r="31" spans="1:6" x14ac:dyDescent="0.3">
      <c r="A31" s="7" t="s">
        <v>146</v>
      </c>
      <c r="B31" s="6">
        <v>44800</v>
      </c>
      <c r="C31" s="11">
        <v>721</v>
      </c>
      <c r="D31" s="11">
        <v>1409</v>
      </c>
      <c r="E31" s="6">
        <v>189820</v>
      </c>
      <c r="F31" s="7"/>
    </row>
    <row r="32" spans="1:6" x14ac:dyDescent="0.3">
      <c r="A32" s="7" t="s">
        <v>147</v>
      </c>
      <c r="B32" s="6">
        <v>46250</v>
      </c>
      <c r="C32" s="11">
        <v>743</v>
      </c>
      <c r="D32" s="11">
        <v>1446</v>
      </c>
      <c r="E32" s="6">
        <v>192162</v>
      </c>
      <c r="F32" s="7"/>
    </row>
    <row r="33" spans="1:6" x14ac:dyDescent="0.3">
      <c r="A33" s="7" t="s">
        <v>148</v>
      </c>
      <c r="B33" s="6">
        <v>47700</v>
      </c>
      <c r="C33" s="11">
        <v>771</v>
      </c>
      <c r="D33" s="11">
        <v>1506</v>
      </c>
      <c r="E33" s="6">
        <v>199505</v>
      </c>
      <c r="F33" s="7"/>
    </row>
    <row r="34" spans="1:6" x14ac:dyDescent="0.3">
      <c r="A34" s="7" t="s">
        <v>149</v>
      </c>
      <c r="B34" s="6">
        <v>48400</v>
      </c>
      <c r="C34" s="11">
        <v>781</v>
      </c>
      <c r="D34" s="11">
        <v>1521</v>
      </c>
      <c r="E34" s="6">
        <v>199560</v>
      </c>
      <c r="F34" s="7"/>
    </row>
    <row r="35" spans="1:6" x14ac:dyDescent="0.3">
      <c r="A35" s="7" t="s">
        <v>150</v>
      </c>
      <c r="B35" s="6">
        <v>49850</v>
      </c>
      <c r="C35" s="11">
        <v>805</v>
      </c>
      <c r="D35" s="11">
        <v>1574</v>
      </c>
      <c r="E35" s="6">
        <v>205902</v>
      </c>
      <c r="F35" s="7"/>
    </row>
    <row r="36" spans="1:6" x14ac:dyDescent="0.3">
      <c r="A36" s="7" t="s">
        <v>151</v>
      </c>
      <c r="B36" s="6">
        <v>51300</v>
      </c>
      <c r="C36" s="11">
        <v>825</v>
      </c>
      <c r="D36" s="11">
        <v>1607</v>
      </c>
      <c r="E36" s="6">
        <v>207045</v>
      </c>
      <c r="F36" s="7"/>
    </row>
  </sheetData>
  <autoFilter ref="A6:E36" xr:uid="{00000000-0009-0000-0000-000006000000}"/>
  <mergeCells count="4">
    <mergeCell ref="A2:F2"/>
    <mergeCell ref="A1:F1"/>
    <mergeCell ref="B3:E3"/>
    <mergeCell ref="B4:E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F30"/>
  <sheetViews>
    <sheetView showGridLines="0" workbookViewId="0">
      <pane ySplit="6" topLeftCell="A7" activePane="bottomLeft" state="frozen"/>
      <selection pane="bottomLeft" sqref="A1:F1"/>
    </sheetView>
  </sheetViews>
  <sheetFormatPr defaultRowHeight="14.4" x14ac:dyDescent="0.3"/>
  <cols>
    <col min="1" max="1" width="17" customWidth="1"/>
    <col min="2" max="2" width="22" customWidth="1"/>
    <col min="3" max="3" width="18" customWidth="1"/>
  </cols>
  <sheetData>
    <row r="1" spans="1:6" ht="28.05" customHeight="1" x14ac:dyDescent="0.3">
      <c r="A1" s="14" t="s">
        <v>152</v>
      </c>
      <c r="B1" s="13"/>
      <c r="C1" s="13"/>
      <c r="D1" s="13"/>
      <c r="E1" s="13"/>
      <c r="F1" s="13"/>
    </row>
    <row r="2" spans="1:6" ht="30" customHeight="1" x14ac:dyDescent="0.3">
      <c r="A2" s="12" t="s">
        <v>68</v>
      </c>
      <c r="B2" s="13"/>
      <c r="C2" s="13"/>
      <c r="D2" s="13"/>
      <c r="E2" s="13"/>
      <c r="F2" s="13"/>
    </row>
    <row r="3" spans="1:6" ht="43.05" customHeight="1" x14ac:dyDescent="0.3">
      <c r="A3" s="4" t="s">
        <v>69</v>
      </c>
      <c r="B3" s="15" t="s">
        <v>153</v>
      </c>
      <c r="C3" s="16"/>
    </row>
    <row r="4" spans="1:6" ht="43.05" customHeight="1" x14ac:dyDescent="0.3">
      <c r="A4" s="4" t="s">
        <v>71</v>
      </c>
      <c r="B4" s="15" t="s">
        <v>154</v>
      </c>
      <c r="C4" s="16"/>
    </row>
    <row r="5" spans="1:6" ht="7.95" customHeight="1" x14ac:dyDescent="0.3"/>
    <row r="6" spans="1:6" ht="34.049999999999997" customHeight="1" x14ac:dyDescent="0.3">
      <c r="A6" s="3" t="s">
        <v>155</v>
      </c>
      <c r="B6" s="3" t="s">
        <v>74</v>
      </c>
      <c r="C6" s="3" t="s">
        <v>75</v>
      </c>
    </row>
    <row r="7" spans="1:6" x14ac:dyDescent="0.3">
      <c r="A7" s="7" t="s">
        <v>156</v>
      </c>
      <c r="B7" s="6">
        <v>5000</v>
      </c>
      <c r="C7" s="6">
        <v>132777</v>
      </c>
      <c r="D7" s="7"/>
      <c r="E7" s="7"/>
      <c r="F7" s="7"/>
    </row>
    <row r="8" spans="1:6" x14ac:dyDescent="0.3">
      <c r="A8" s="7" t="s">
        <v>157</v>
      </c>
      <c r="B8" s="6">
        <v>9500</v>
      </c>
      <c r="C8" s="6">
        <v>181338</v>
      </c>
      <c r="D8" s="7"/>
      <c r="E8" s="7"/>
      <c r="F8" s="7"/>
    </row>
    <row r="9" spans="1:6" x14ac:dyDescent="0.3">
      <c r="A9" s="7" t="s">
        <v>158</v>
      </c>
      <c r="B9" s="6">
        <v>14000</v>
      </c>
      <c r="C9" s="6">
        <v>210032</v>
      </c>
      <c r="D9" s="7"/>
      <c r="E9" s="7"/>
      <c r="F9" s="7"/>
    </row>
    <row r="10" spans="1:6" x14ac:dyDescent="0.3">
      <c r="A10" s="7" t="s">
        <v>159</v>
      </c>
      <c r="B10" s="6">
        <v>18500</v>
      </c>
      <c r="C10" s="6">
        <v>247897</v>
      </c>
      <c r="D10" s="7"/>
      <c r="E10" s="7"/>
      <c r="F10" s="7"/>
    </row>
    <row r="11" spans="1:6" x14ac:dyDescent="0.3">
      <c r="A11" s="7" t="s">
        <v>160</v>
      </c>
      <c r="B11" s="6">
        <v>23000</v>
      </c>
      <c r="C11" s="6">
        <v>266306</v>
      </c>
      <c r="D11" s="7"/>
      <c r="E11" s="7"/>
      <c r="F11" s="7"/>
    </row>
    <row r="12" spans="1:6" x14ac:dyDescent="0.3">
      <c r="A12" s="7" t="s">
        <v>161</v>
      </c>
      <c r="B12" s="6">
        <v>27500</v>
      </c>
      <c r="C12" s="6">
        <v>294777</v>
      </c>
      <c r="D12" s="7"/>
      <c r="E12" s="7"/>
      <c r="F12" s="7"/>
    </row>
    <row r="13" spans="1:6" x14ac:dyDescent="0.3">
      <c r="A13" s="7" t="s">
        <v>162</v>
      </c>
      <c r="B13" s="6">
        <v>32000</v>
      </c>
      <c r="C13" s="6">
        <v>307277</v>
      </c>
      <c r="D13" s="7"/>
      <c r="E13" s="7"/>
      <c r="F13" s="7"/>
    </row>
    <row r="14" spans="1:6" x14ac:dyDescent="0.3">
      <c r="A14" s="7" t="s">
        <v>163</v>
      </c>
      <c r="B14" s="6">
        <v>36500</v>
      </c>
      <c r="C14" s="6">
        <v>335334</v>
      </c>
      <c r="D14" s="7"/>
      <c r="E14" s="7"/>
      <c r="F14" s="7"/>
    </row>
    <row r="15" spans="1:6" x14ac:dyDescent="0.3">
      <c r="A15" s="7" t="s">
        <v>164</v>
      </c>
      <c r="B15" s="6">
        <v>41000</v>
      </c>
      <c r="C15" s="6">
        <v>345934</v>
      </c>
      <c r="D15" s="7"/>
      <c r="E15" s="7"/>
      <c r="F15" s="7"/>
    </row>
    <row r="16" spans="1:6" x14ac:dyDescent="0.3">
      <c r="A16" s="7" t="s">
        <v>165</v>
      </c>
      <c r="B16" s="6">
        <v>45500</v>
      </c>
      <c r="C16" s="6">
        <v>367830</v>
      </c>
      <c r="D16" s="7"/>
      <c r="E16" s="7"/>
      <c r="F16" s="7"/>
    </row>
    <row r="17" spans="1:6" x14ac:dyDescent="0.3">
      <c r="A17" s="7" t="s">
        <v>166</v>
      </c>
      <c r="B17" s="6">
        <v>50000</v>
      </c>
      <c r="C17" s="6">
        <v>372146</v>
      </c>
      <c r="D17" s="7"/>
      <c r="E17" s="7"/>
      <c r="F17" s="7"/>
    </row>
    <row r="18" spans="1:6" x14ac:dyDescent="0.3">
      <c r="A18" s="7" t="s">
        <v>167</v>
      </c>
      <c r="B18" s="6">
        <v>54500</v>
      </c>
      <c r="C18" s="6">
        <v>388180</v>
      </c>
      <c r="D18" s="7"/>
      <c r="E18" s="7"/>
      <c r="F18" s="7"/>
    </row>
    <row r="19" spans="1:6" x14ac:dyDescent="0.3">
      <c r="A19" s="7" t="s">
        <v>168</v>
      </c>
      <c r="B19" s="6">
        <v>59000</v>
      </c>
      <c r="C19" s="6">
        <v>389706</v>
      </c>
      <c r="D19" s="7"/>
      <c r="E19" s="7"/>
      <c r="F19" s="7"/>
    </row>
    <row r="20" spans="1:6" x14ac:dyDescent="0.3">
      <c r="A20" s="7" t="s">
        <v>169</v>
      </c>
      <c r="B20" s="6">
        <v>63500</v>
      </c>
      <c r="C20" s="6">
        <v>408077</v>
      </c>
      <c r="D20" s="7"/>
      <c r="E20" s="7"/>
      <c r="F20" s="7"/>
    </row>
    <row r="21" spans="1:6" x14ac:dyDescent="0.3">
      <c r="A21" s="7" t="s">
        <v>170</v>
      </c>
      <c r="B21" s="6">
        <v>68000</v>
      </c>
      <c r="C21" s="6">
        <v>410129</v>
      </c>
      <c r="D21" s="7"/>
      <c r="E21" s="7"/>
      <c r="F21" s="7"/>
    </row>
    <row r="22" spans="1:6" x14ac:dyDescent="0.3">
      <c r="A22" s="7" t="s">
        <v>171</v>
      </c>
      <c r="B22" s="6">
        <v>72500</v>
      </c>
      <c r="C22" s="6">
        <v>424482</v>
      </c>
      <c r="D22" s="7"/>
      <c r="E22" s="7"/>
      <c r="F22" s="7"/>
    </row>
    <row r="23" spans="1:6" x14ac:dyDescent="0.3">
      <c r="A23" s="7" t="s">
        <v>172</v>
      </c>
      <c r="B23" s="6">
        <v>77000</v>
      </c>
      <c r="C23" s="6">
        <v>422141</v>
      </c>
      <c r="D23" s="7"/>
      <c r="E23" s="7"/>
      <c r="F23" s="7"/>
    </row>
    <row r="24" spans="1:6" x14ac:dyDescent="0.3">
      <c r="A24" s="7" t="s">
        <v>173</v>
      </c>
      <c r="B24" s="6">
        <v>81500</v>
      </c>
      <c r="C24" s="6">
        <v>432301</v>
      </c>
      <c r="D24" s="7"/>
      <c r="E24" s="7"/>
      <c r="F24" s="7"/>
    </row>
    <row r="25" spans="1:6" x14ac:dyDescent="0.3">
      <c r="A25" s="7" t="s">
        <v>174</v>
      </c>
      <c r="B25" s="6">
        <v>86000</v>
      </c>
      <c r="C25" s="6">
        <v>428642</v>
      </c>
      <c r="D25" s="7"/>
      <c r="E25" s="7"/>
      <c r="F25" s="7"/>
    </row>
    <row r="26" spans="1:6" x14ac:dyDescent="0.3">
      <c r="A26" s="7" t="s">
        <v>175</v>
      </c>
      <c r="B26" s="6">
        <v>90500</v>
      </c>
      <c r="C26" s="6">
        <v>442438</v>
      </c>
      <c r="D26" s="7"/>
      <c r="E26" s="7"/>
      <c r="F26" s="7"/>
    </row>
    <row r="27" spans="1:6" x14ac:dyDescent="0.3">
      <c r="A27" s="7" t="s">
        <v>176</v>
      </c>
      <c r="B27" s="6">
        <v>95000</v>
      </c>
      <c r="C27" s="6">
        <v>440453</v>
      </c>
      <c r="D27" s="7"/>
      <c r="E27" s="7"/>
      <c r="F27" s="7"/>
    </row>
    <row r="28" spans="1:6" x14ac:dyDescent="0.3">
      <c r="A28" s="7" t="s">
        <v>177</v>
      </c>
      <c r="B28" s="6">
        <v>99500</v>
      </c>
      <c r="C28" s="6">
        <v>451242</v>
      </c>
      <c r="D28" s="7"/>
      <c r="E28" s="7"/>
      <c r="F28" s="7"/>
    </row>
    <row r="29" spans="1:6" x14ac:dyDescent="0.3">
      <c r="A29" s="7" t="s">
        <v>178</v>
      </c>
      <c r="B29" s="6">
        <v>104000</v>
      </c>
      <c r="C29" s="6">
        <v>445758</v>
      </c>
      <c r="D29" s="7"/>
      <c r="E29" s="7"/>
      <c r="F29" s="7"/>
    </row>
    <row r="30" spans="1:6" x14ac:dyDescent="0.3">
      <c r="A30" s="7" t="s">
        <v>179</v>
      </c>
      <c r="B30" s="6">
        <v>108500</v>
      </c>
      <c r="C30" s="6">
        <v>453142</v>
      </c>
      <c r="D30" s="7"/>
      <c r="E30" s="7"/>
      <c r="F30" s="7"/>
    </row>
  </sheetData>
  <autoFilter ref="A6:C30" xr:uid="{00000000-0009-0000-0000-000007000000}"/>
  <mergeCells count="4">
    <mergeCell ref="B4:C4"/>
    <mergeCell ref="A2:F2"/>
    <mergeCell ref="B3:C3"/>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F34"/>
  <sheetViews>
    <sheetView showGridLines="0" workbookViewId="0">
      <pane ySplit="6" topLeftCell="A7" activePane="bottomLeft" state="frozen"/>
      <selection pane="bottomLeft" sqref="A1:F1"/>
    </sheetView>
  </sheetViews>
  <sheetFormatPr defaultRowHeight="14.4" x14ac:dyDescent="0.3"/>
  <cols>
    <col min="1" max="1" width="18" customWidth="1"/>
    <col min="2" max="2" width="19" customWidth="1"/>
    <col min="3" max="3" width="18" customWidth="1"/>
    <col min="4" max="4" width="19" customWidth="1"/>
    <col min="5" max="5" width="21" customWidth="1"/>
  </cols>
  <sheetData>
    <row r="1" spans="1:6" ht="28.05" customHeight="1" x14ac:dyDescent="0.3">
      <c r="A1" s="14" t="s">
        <v>180</v>
      </c>
      <c r="B1" s="13"/>
      <c r="C1" s="13"/>
      <c r="D1" s="13"/>
      <c r="E1" s="13"/>
      <c r="F1" s="13"/>
    </row>
    <row r="2" spans="1:6" ht="30" customHeight="1" x14ac:dyDescent="0.3">
      <c r="A2" s="12" t="s">
        <v>68</v>
      </c>
      <c r="B2" s="13"/>
      <c r="C2" s="13"/>
      <c r="D2" s="13"/>
      <c r="E2" s="13"/>
      <c r="F2" s="13"/>
    </row>
    <row r="3" spans="1:6" ht="43.05" customHeight="1" x14ac:dyDescent="0.3">
      <c r="A3" s="4" t="s">
        <v>69</v>
      </c>
      <c r="B3" s="15" t="s">
        <v>181</v>
      </c>
      <c r="C3" s="16"/>
      <c r="D3" s="16"/>
      <c r="E3" s="16"/>
    </row>
    <row r="4" spans="1:6" ht="43.05" customHeight="1" x14ac:dyDescent="0.3">
      <c r="A4" s="4" t="s">
        <v>71</v>
      </c>
      <c r="B4" s="15" t="s">
        <v>182</v>
      </c>
      <c r="C4" s="16"/>
      <c r="D4" s="16"/>
      <c r="E4" s="16"/>
    </row>
    <row r="5" spans="1:6" ht="7.95" customHeight="1" x14ac:dyDescent="0.3"/>
    <row r="6" spans="1:6" ht="34.049999999999997" customHeight="1" x14ac:dyDescent="0.3">
      <c r="A6" s="3" t="s">
        <v>183</v>
      </c>
      <c r="B6" s="3" t="s">
        <v>184</v>
      </c>
      <c r="C6" s="3" t="s">
        <v>185</v>
      </c>
      <c r="D6" s="3" t="s">
        <v>186</v>
      </c>
      <c r="E6" s="3" t="s">
        <v>187</v>
      </c>
    </row>
    <row r="7" spans="1:6" x14ac:dyDescent="0.3">
      <c r="A7" s="7" t="s">
        <v>188</v>
      </c>
      <c r="B7" s="10">
        <v>0</v>
      </c>
      <c r="C7" s="10">
        <v>2</v>
      </c>
      <c r="D7" s="6">
        <v>90</v>
      </c>
      <c r="E7" s="10">
        <v>0</v>
      </c>
      <c r="F7" s="7"/>
    </row>
    <row r="8" spans="1:6" x14ac:dyDescent="0.3">
      <c r="A8" s="7" t="s">
        <v>189</v>
      </c>
      <c r="B8" s="10">
        <v>1</v>
      </c>
      <c r="C8" s="10">
        <v>3</v>
      </c>
      <c r="D8" s="6">
        <v>125</v>
      </c>
      <c r="E8" s="10">
        <v>0</v>
      </c>
      <c r="F8" s="7"/>
    </row>
    <row r="9" spans="1:6" x14ac:dyDescent="0.3">
      <c r="A9" s="7" t="s">
        <v>190</v>
      </c>
      <c r="B9" s="10">
        <v>2</v>
      </c>
      <c r="C9" s="10">
        <v>4</v>
      </c>
      <c r="D9" s="6">
        <v>160</v>
      </c>
      <c r="E9" s="10">
        <v>0</v>
      </c>
      <c r="F9" s="7"/>
    </row>
    <row r="10" spans="1:6" x14ac:dyDescent="0.3">
      <c r="A10" s="7" t="s">
        <v>191</v>
      </c>
      <c r="B10" s="10">
        <v>3</v>
      </c>
      <c r="C10" s="10">
        <v>5</v>
      </c>
      <c r="D10" s="6">
        <v>195</v>
      </c>
      <c r="E10" s="10">
        <v>1</v>
      </c>
      <c r="F10" s="7"/>
    </row>
    <row r="11" spans="1:6" x14ac:dyDescent="0.3">
      <c r="A11" s="7" t="s">
        <v>192</v>
      </c>
      <c r="B11" s="10">
        <v>4</v>
      </c>
      <c r="C11" s="10">
        <v>6</v>
      </c>
      <c r="D11" s="6">
        <v>230</v>
      </c>
      <c r="E11" s="10">
        <v>0</v>
      </c>
      <c r="F11" s="7"/>
    </row>
    <row r="12" spans="1:6" x14ac:dyDescent="0.3">
      <c r="A12" s="7" t="s">
        <v>193</v>
      </c>
      <c r="B12" s="10">
        <v>5</v>
      </c>
      <c r="C12" s="10">
        <v>7</v>
      </c>
      <c r="D12" s="6">
        <v>265</v>
      </c>
      <c r="E12" s="10">
        <v>1</v>
      </c>
      <c r="F12" s="7"/>
    </row>
    <row r="13" spans="1:6" x14ac:dyDescent="0.3">
      <c r="A13" s="7" t="s">
        <v>194</v>
      </c>
      <c r="B13" s="10">
        <v>6</v>
      </c>
      <c r="C13" s="10">
        <v>8</v>
      </c>
      <c r="D13" s="6">
        <v>300</v>
      </c>
      <c r="E13" s="10">
        <v>1</v>
      </c>
      <c r="F13" s="7"/>
    </row>
    <row r="14" spans="1:6" x14ac:dyDescent="0.3">
      <c r="A14" s="7" t="s">
        <v>195</v>
      </c>
      <c r="B14" s="10">
        <v>0</v>
      </c>
      <c r="C14" s="10">
        <v>9</v>
      </c>
      <c r="D14" s="6">
        <v>335</v>
      </c>
      <c r="E14" s="10">
        <v>0</v>
      </c>
      <c r="F14" s="7"/>
    </row>
    <row r="15" spans="1:6" x14ac:dyDescent="0.3">
      <c r="A15" s="7" t="s">
        <v>196</v>
      </c>
      <c r="B15" s="10">
        <v>1</v>
      </c>
      <c r="C15" s="10">
        <v>10</v>
      </c>
      <c r="D15" s="6">
        <v>370</v>
      </c>
      <c r="E15" s="10">
        <v>0</v>
      </c>
      <c r="F15" s="7"/>
    </row>
    <row r="16" spans="1:6" x14ac:dyDescent="0.3">
      <c r="A16" s="7" t="s">
        <v>197</v>
      </c>
      <c r="B16" s="10">
        <v>2</v>
      </c>
      <c r="C16" s="10">
        <v>11</v>
      </c>
      <c r="D16" s="6">
        <v>405</v>
      </c>
      <c r="E16" s="10">
        <v>0</v>
      </c>
      <c r="F16" s="7"/>
    </row>
    <row r="17" spans="1:6" x14ac:dyDescent="0.3">
      <c r="A17" s="7" t="s">
        <v>198</v>
      </c>
      <c r="B17" s="10">
        <v>3</v>
      </c>
      <c r="C17" s="10">
        <v>12</v>
      </c>
      <c r="D17" s="6">
        <v>90</v>
      </c>
      <c r="E17" s="10">
        <v>0</v>
      </c>
      <c r="F17" s="7"/>
    </row>
    <row r="18" spans="1:6" x14ac:dyDescent="0.3">
      <c r="A18" s="7" t="s">
        <v>199</v>
      </c>
      <c r="B18" s="10">
        <v>4</v>
      </c>
      <c r="C18" s="10">
        <v>13</v>
      </c>
      <c r="D18" s="6">
        <v>125</v>
      </c>
      <c r="E18" s="10">
        <v>0</v>
      </c>
      <c r="F18" s="7"/>
    </row>
    <row r="19" spans="1:6" x14ac:dyDescent="0.3">
      <c r="A19" s="7" t="s">
        <v>200</v>
      </c>
      <c r="B19" s="10">
        <v>5</v>
      </c>
      <c r="C19" s="10">
        <v>14</v>
      </c>
      <c r="D19" s="6">
        <v>160</v>
      </c>
      <c r="E19" s="10">
        <v>1</v>
      </c>
      <c r="F19" s="7"/>
    </row>
    <row r="20" spans="1:6" x14ac:dyDescent="0.3">
      <c r="A20" s="7" t="s">
        <v>201</v>
      </c>
      <c r="B20" s="10">
        <v>6</v>
      </c>
      <c r="C20" s="10">
        <v>15</v>
      </c>
      <c r="D20" s="6">
        <v>195</v>
      </c>
      <c r="E20" s="10">
        <v>1</v>
      </c>
      <c r="F20" s="7"/>
    </row>
    <row r="21" spans="1:6" x14ac:dyDescent="0.3">
      <c r="A21" s="7" t="s">
        <v>202</v>
      </c>
      <c r="B21" s="10">
        <v>0</v>
      </c>
      <c r="C21" s="10">
        <v>16</v>
      </c>
      <c r="D21" s="6">
        <v>230</v>
      </c>
      <c r="E21" s="10">
        <v>0</v>
      </c>
      <c r="F21" s="7"/>
    </row>
    <row r="22" spans="1:6" x14ac:dyDescent="0.3">
      <c r="A22" s="7" t="s">
        <v>203</v>
      </c>
      <c r="B22" s="10">
        <v>1</v>
      </c>
      <c r="C22" s="10">
        <v>17</v>
      </c>
      <c r="D22" s="6">
        <v>265</v>
      </c>
      <c r="E22" s="10">
        <v>0</v>
      </c>
      <c r="F22" s="7"/>
    </row>
    <row r="23" spans="1:6" x14ac:dyDescent="0.3">
      <c r="A23" s="7" t="s">
        <v>204</v>
      </c>
      <c r="B23" s="10">
        <v>2</v>
      </c>
      <c r="C23" s="10">
        <v>18</v>
      </c>
      <c r="D23" s="6">
        <v>300</v>
      </c>
      <c r="E23" s="10">
        <v>0</v>
      </c>
      <c r="F23" s="7"/>
    </row>
    <row r="24" spans="1:6" x14ac:dyDescent="0.3">
      <c r="A24" s="7" t="s">
        <v>205</v>
      </c>
      <c r="B24" s="10">
        <v>3</v>
      </c>
      <c r="C24" s="10">
        <v>19</v>
      </c>
      <c r="D24" s="6">
        <v>335</v>
      </c>
      <c r="E24" s="10">
        <v>0</v>
      </c>
      <c r="F24" s="7"/>
    </row>
    <row r="25" spans="1:6" x14ac:dyDescent="0.3">
      <c r="A25" s="7" t="s">
        <v>206</v>
      </c>
      <c r="B25" s="10">
        <v>4</v>
      </c>
      <c r="C25" s="10">
        <v>2</v>
      </c>
      <c r="D25" s="6">
        <v>370</v>
      </c>
      <c r="E25" s="10">
        <v>1</v>
      </c>
      <c r="F25" s="7"/>
    </row>
    <row r="26" spans="1:6" x14ac:dyDescent="0.3">
      <c r="A26" s="7" t="s">
        <v>207</v>
      </c>
      <c r="B26" s="10">
        <v>5</v>
      </c>
      <c r="C26" s="10">
        <v>3</v>
      </c>
      <c r="D26" s="6">
        <v>405</v>
      </c>
      <c r="E26" s="10">
        <v>1</v>
      </c>
      <c r="F26" s="7"/>
    </row>
    <row r="27" spans="1:6" x14ac:dyDescent="0.3">
      <c r="A27" s="7" t="s">
        <v>208</v>
      </c>
      <c r="B27" s="10">
        <v>6</v>
      </c>
      <c r="C27" s="10">
        <v>4</v>
      </c>
      <c r="D27" s="6">
        <v>90</v>
      </c>
      <c r="E27" s="10">
        <v>1</v>
      </c>
      <c r="F27" s="7"/>
    </row>
    <row r="28" spans="1:6" x14ac:dyDescent="0.3">
      <c r="A28" s="7" t="s">
        <v>209</v>
      </c>
      <c r="B28" s="10">
        <v>0</v>
      </c>
      <c r="C28" s="10">
        <v>5</v>
      </c>
      <c r="D28" s="6">
        <v>125</v>
      </c>
      <c r="E28" s="10">
        <v>0</v>
      </c>
      <c r="F28" s="7"/>
    </row>
    <row r="29" spans="1:6" x14ac:dyDescent="0.3">
      <c r="A29" s="7" t="s">
        <v>210</v>
      </c>
      <c r="B29" s="10">
        <v>1</v>
      </c>
      <c r="C29" s="10">
        <v>6</v>
      </c>
      <c r="D29" s="6">
        <v>160</v>
      </c>
      <c r="E29" s="10">
        <v>0</v>
      </c>
      <c r="F29" s="7"/>
    </row>
    <row r="30" spans="1:6" x14ac:dyDescent="0.3">
      <c r="A30" s="7" t="s">
        <v>211</v>
      </c>
      <c r="B30" s="10">
        <v>2</v>
      </c>
      <c r="C30" s="10">
        <v>7</v>
      </c>
      <c r="D30" s="6">
        <v>195</v>
      </c>
      <c r="E30" s="10">
        <v>0</v>
      </c>
      <c r="F30" s="7"/>
    </row>
    <row r="31" spans="1:6" x14ac:dyDescent="0.3">
      <c r="A31" s="7" t="s">
        <v>212</v>
      </c>
      <c r="B31" s="10">
        <v>3</v>
      </c>
      <c r="C31" s="10">
        <v>8</v>
      </c>
      <c r="D31" s="6">
        <v>230</v>
      </c>
      <c r="E31" s="10">
        <v>0</v>
      </c>
      <c r="F31" s="7"/>
    </row>
    <row r="32" spans="1:6" x14ac:dyDescent="0.3">
      <c r="A32" s="7" t="s">
        <v>213</v>
      </c>
      <c r="B32" s="10">
        <v>4</v>
      </c>
      <c r="C32" s="10">
        <v>9</v>
      </c>
      <c r="D32" s="6">
        <v>265</v>
      </c>
      <c r="E32" s="10">
        <v>0</v>
      </c>
      <c r="F32" s="7"/>
    </row>
    <row r="33" spans="1:6" x14ac:dyDescent="0.3">
      <c r="A33" s="7" t="s">
        <v>214</v>
      </c>
      <c r="B33" s="10">
        <v>5</v>
      </c>
      <c r="C33" s="10">
        <v>10</v>
      </c>
      <c r="D33" s="6">
        <v>300</v>
      </c>
      <c r="E33" s="10">
        <v>1</v>
      </c>
      <c r="F33" s="7"/>
    </row>
    <row r="34" spans="1:6" x14ac:dyDescent="0.3">
      <c r="A34" s="7" t="s">
        <v>215</v>
      </c>
      <c r="B34" s="10">
        <v>6</v>
      </c>
      <c r="C34" s="10">
        <v>11</v>
      </c>
      <c r="D34" s="6">
        <v>335</v>
      </c>
      <c r="E34" s="10">
        <v>1</v>
      </c>
      <c r="F34" s="7"/>
    </row>
  </sheetData>
  <autoFilter ref="A6:E34" xr:uid="{00000000-0009-0000-0000-000008000000}"/>
  <mergeCells count="4">
    <mergeCell ref="A2:F2"/>
    <mergeCell ref="A1:F1"/>
    <mergeCell ref="B3:E3"/>
    <mergeCell ref="B4:E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F30"/>
  <sheetViews>
    <sheetView showGridLines="0" tabSelected="1" workbookViewId="0">
      <pane ySplit="6" topLeftCell="A7" activePane="bottomLeft" state="frozen"/>
      <selection pane="bottomLeft" activeCell="C20" sqref="C20"/>
    </sheetView>
  </sheetViews>
  <sheetFormatPr defaultRowHeight="14.4" x14ac:dyDescent="0.3"/>
  <cols>
    <col min="1" max="1" width="14" customWidth="1"/>
    <col min="2" max="2" width="21" customWidth="1"/>
    <col min="3" max="3" width="27" customWidth="1"/>
    <col min="4" max="4" width="28" customWidth="1"/>
    <col min="5" max="5" width="18" customWidth="1"/>
  </cols>
  <sheetData>
    <row r="1" spans="1:6" ht="28.05" customHeight="1" x14ac:dyDescent="0.3">
      <c r="A1" s="14" t="s">
        <v>216</v>
      </c>
      <c r="B1" s="13"/>
      <c r="C1" s="13"/>
      <c r="D1" s="13"/>
      <c r="E1" s="13"/>
      <c r="F1" s="13"/>
    </row>
    <row r="2" spans="1:6" ht="30" customHeight="1" x14ac:dyDescent="0.3">
      <c r="A2" s="12" t="s">
        <v>68</v>
      </c>
      <c r="B2" s="13"/>
      <c r="C2" s="13"/>
      <c r="D2" s="13"/>
      <c r="E2" s="13"/>
      <c r="F2" s="13"/>
    </row>
    <row r="3" spans="1:6" ht="43.05" customHeight="1" x14ac:dyDescent="0.3">
      <c r="A3" s="4" t="s">
        <v>69</v>
      </c>
      <c r="B3" s="15" t="s">
        <v>217</v>
      </c>
      <c r="C3" s="16"/>
      <c r="D3" s="16"/>
      <c r="E3" s="16"/>
    </row>
    <row r="4" spans="1:6" ht="43.05" customHeight="1" x14ac:dyDescent="0.3">
      <c r="A4" s="4" t="s">
        <v>71</v>
      </c>
      <c r="B4" s="15" t="s">
        <v>218</v>
      </c>
      <c r="C4" s="16"/>
      <c r="D4" s="16"/>
      <c r="E4" s="16"/>
    </row>
    <row r="5" spans="1:6" ht="7.95" customHeight="1" x14ac:dyDescent="0.3"/>
    <row r="6" spans="1:6" ht="34.049999999999997" customHeight="1" x14ac:dyDescent="0.3">
      <c r="A6" s="3" t="s">
        <v>73</v>
      </c>
      <c r="B6" s="3" t="s">
        <v>74</v>
      </c>
      <c r="C6" s="3" t="s">
        <v>219</v>
      </c>
      <c r="D6" s="3" t="s">
        <v>220</v>
      </c>
      <c r="E6" s="3" t="s">
        <v>221</v>
      </c>
    </row>
    <row r="7" spans="1:6" x14ac:dyDescent="0.3">
      <c r="A7" s="5">
        <v>45292</v>
      </c>
      <c r="B7" s="6">
        <v>14000</v>
      </c>
      <c r="C7" s="10">
        <v>45</v>
      </c>
      <c r="D7" s="6">
        <v>18626</v>
      </c>
      <c r="E7" s="6">
        <v>117100</v>
      </c>
      <c r="F7" s="7"/>
    </row>
    <row r="8" spans="1:6" x14ac:dyDescent="0.3">
      <c r="A8" s="5">
        <v>45323</v>
      </c>
      <c r="B8" s="6">
        <v>16200</v>
      </c>
      <c r="C8" s="10">
        <v>52</v>
      </c>
      <c r="D8" s="6">
        <v>21605</v>
      </c>
      <c r="E8" s="6">
        <v>134560</v>
      </c>
      <c r="F8" s="7"/>
    </row>
    <row r="9" spans="1:6" x14ac:dyDescent="0.3">
      <c r="A9" s="5">
        <v>45352</v>
      </c>
      <c r="B9" s="6">
        <v>18400</v>
      </c>
      <c r="C9" s="10">
        <v>59</v>
      </c>
      <c r="D9" s="6">
        <v>22678</v>
      </c>
      <c r="E9" s="6">
        <v>142020</v>
      </c>
      <c r="F9" s="7"/>
    </row>
    <row r="10" spans="1:6" x14ac:dyDescent="0.3">
      <c r="A10" s="5">
        <v>45383</v>
      </c>
      <c r="B10" s="6">
        <v>20600</v>
      </c>
      <c r="C10" s="10">
        <v>66</v>
      </c>
      <c r="D10" s="6">
        <v>25319</v>
      </c>
      <c r="E10" s="6">
        <v>157680</v>
      </c>
      <c r="F10" s="7"/>
    </row>
    <row r="11" spans="1:6" x14ac:dyDescent="0.3">
      <c r="A11" s="5">
        <v>45413</v>
      </c>
      <c r="B11" s="6">
        <v>22800</v>
      </c>
      <c r="C11" s="10">
        <v>73</v>
      </c>
      <c r="D11" s="6">
        <v>26296</v>
      </c>
      <c r="E11" s="6">
        <v>165040</v>
      </c>
      <c r="F11" s="7"/>
    </row>
    <row r="12" spans="1:6" x14ac:dyDescent="0.3">
      <c r="A12" s="5">
        <v>45444</v>
      </c>
      <c r="B12" s="6">
        <v>25000</v>
      </c>
      <c r="C12" s="10">
        <v>80</v>
      </c>
      <c r="D12" s="6">
        <v>28619</v>
      </c>
      <c r="E12" s="6">
        <v>178400</v>
      </c>
      <c r="F12" s="7"/>
    </row>
    <row r="13" spans="1:6" x14ac:dyDescent="0.3">
      <c r="A13" s="5">
        <v>45474</v>
      </c>
      <c r="B13" s="6">
        <v>27200</v>
      </c>
      <c r="C13" s="10">
        <v>87</v>
      </c>
      <c r="D13" s="6">
        <v>29405</v>
      </c>
      <c r="E13" s="6">
        <v>184060</v>
      </c>
      <c r="F13" s="7"/>
    </row>
    <row r="14" spans="1:6" x14ac:dyDescent="0.3">
      <c r="A14" s="5">
        <v>45505</v>
      </c>
      <c r="B14" s="6">
        <v>29400</v>
      </c>
      <c r="C14" s="10">
        <v>94</v>
      </c>
      <c r="D14" s="6">
        <v>32333</v>
      </c>
      <c r="E14" s="6">
        <v>201520</v>
      </c>
      <c r="F14" s="7"/>
    </row>
    <row r="15" spans="1:6" x14ac:dyDescent="0.3">
      <c r="A15" s="5">
        <v>45536</v>
      </c>
      <c r="B15" s="6">
        <v>14000</v>
      </c>
      <c r="C15" s="10">
        <v>101</v>
      </c>
      <c r="D15" s="6">
        <v>24597</v>
      </c>
      <c r="E15" s="6">
        <v>154420</v>
      </c>
      <c r="F15" s="7"/>
    </row>
    <row r="16" spans="1:6" x14ac:dyDescent="0.3">
      <c r="A16" s="5">
        <v>45566</v>
      </c>
      <c r="B16" s="6">
        <v>16200</v>
      </c>
      <c r="C16" s="10">
        <v>45</v>
      </c>
      <c r="D16" s="6">
        <v>21038</v>
      </c>
      <c r="E16" s="6">
        <v>131020</v>
      </c>
      <c r="F16" s="7"/>
    </row>
    <row r="17" spans="1:6" x14ac:dyDescent="0.3">
      <c r="A17" s="5">
        <v>45597</v>
      </c>
      <c r="B17" s="6">
        <v>18400</v>
      </c>
      <c r="C17" s="10">
        <v>52</v>
      </c>
      <c r="D17" s="6">
        <v>22096</v>
      </c>
      <c r="E17" s="6">
        <v>138380</v>
      </c>
      <c r="F17" s="7"/>
    </row>
    <row r="18" spans="1:6" x14ac:dyDescent="0.3">
      <c r="A18" s="5">
        <v>45627</v>
      </c>
      <c r="B18" s="6">
        <v>20600</v>
      </c>
      <c r="C18" s="10">
        <v>59</v>
      </c>
      <c r="D18" s="6">
        <v>24368</v>
      </c>
      <c r="E18" s="6">
        <v>151740</v>
      </c>
      <c r="F18" s="7"/>
    </row>
    <row r="19" spans="1:6" x14ac:dyDescent="0.3">
      <c r="A19" s="5">
        <v>45658</v>
      </c>
      <c r="B19" s="6">
        <v>22800</v>
      </c>
      <c r="C19" s="10">
        <v>66</v>
      </c>
      <c r="D19" s="6">
        <v>25074</v>
      </c>
      <c r="E19" s="6">
        <v>157400</v>
      </c>
      <c r="F19" s="7"/>
    </row>
    <row r="20" spans="1:6" x14ac:dyDescent="0.3">
      <c r="A20" s="5">
        <v>45689</v>
      </c>
      <c r="B20" s="6">
        <v>25000</v>
      </c>
      <c r="C20" s="10">
        <v>73</v>
      </c>
      <c r="D20" s="6">
        <v>28053</v>
      </c>
      <c r="E20" s="6">
        <v>174860</v>
      </c>
      <c r="F20" s="7"/>
    </row>
    <row r="21" spans="1:6" x14ac:dyDescent="0.3">
      <c r="A21" s="5">
        <v>45717</v>
      </c>
      <c r="B21" s="6">
        <v>27200</v>
      </c>
      <c r="C21" s="10">
        <v>80</v>
      </c>
      <c r="D21" s="6">
        <v>29126</v>
      </c>
      <c r="E21" s="6">
        <v>182320</v>
      </c>
      <c r="F21" s="7"/>
    </row>
    <row r="22" spans="1:6" x14ac:dyDescent="0.3">
      <c r="A22" s="5">
        <v>45748</v>
      </c>
      <c r="B22" s="6">
        <v>29400</v>
      </c>
      <c r="C22" s="10">
        <v>87</v>
      </c>
      <c r="D22" s="6">
        <v>31767</v>
      </c>
      <c r="E22" s="6">
        <v>197980</v>
      </c>
      <c r="F22" s="7"/>
    </row>
    <row r="23" spans="1:6" x14ac:dyDescent="0.3">
      <c r="A23" s="5">
        <v>45778</v>
      </c>
      <c r="B23" s="6">
        <v>14000</v>
      </c>
      <c r="C23" s="10">
        <v>94</v>
      </c>
      <c r="D23" s="6">
        <v>24015</v>
      </c>
      <c r="E23" s="6">
        <v>150780</v>
      </c>
      <c r="F23" s="7"/>
    </row>
    <row r="24" spans="1:6" x14ac:dyDescent="0.3">
      <c r="A24" s="5">
        <v>45809</v>
      </c>
      <c r="B24" s="6">
        <v>16200</v>
      </c>
      <c r="C24" s="10">
        <v>101</v>
      </c>
      <c r="D24" s="6">
        <v>26337</v>
      </c>
      <c r="E24" s="6">
        <v>164140</v>
      </c>
      <c r="F24" s="7"/>
    </row>
    <row r="25" spans="1:6" x14ac:dyDescent="0.3">
      <c r="A25" s="5">
        <v>45839</v>
      </c>
      <c r="B25" s="6">
        <v>18400</v>
      </c>
      <c r="C25" s="10">
        <v>45</v>
      </c>
      <c r="D25" s="6">
        <v>20873</v>
      </c>
      <c r="E25" s="6">
        <v>130740</v>
      </c>
      <c r="F25" s="7"/>
    </row>
    <row r="26" spans="1:6" x14ac:dyDescent="0.3">
      <c r="A26" s="5">
        <v>45870</v>
      </c>
      <c r="B26" s="6">
        <v>20600</v>
      </c>
      <c r="C26" s="10">
        <v>52</v>
      </c>
      <c r="D26" s="6">
        <v>23802</v>
      </c>
      <c r="E26" s="6">
        <v>148200</v>
      </c>
      <c r="F26" s="7"/>
    </row>
    <row r="27" spans="1:6" x14ac:dyDescent="0.3">
      <c r="A27" s="5">
        <v>45901</v>
      </c>
      <c r="B27" s="6">
        <v>22800</v>
      </c>
      <c r="C27" s="10">
        <v>59</v>
      </c>
      <c r="D27" s="6">
        <v>24796</v>
      </c>
      <c r="E27" s="6">
        <v>155660</v>
      </c>
      <c r="F27" s="7"/>
    </row>
    <row r="28" spans="1:6" x14ac:dyDescent="0.3">
      <c r="A28" s="5">
        <v>45931</v>
      </c>
      <c r="B28" s="6">
        <v>25000</v>
      </c>
      <c r="C28" s="10">
        <v>66</v>
      </c>
      <c r="D28" s="6">
        <v>27486</v>
      </c>
      <c r="E28" s="6">
        <v>171320</v>
      </c>
      <c r="F28" s="7"/>
    </row>
    <row r="29" spans="1:6" x14ac:dyDescent="0.3">
      <c r="A29" s="5">
        <v>45962</v>
      </c>
      <c r="B29" s="6">
        <v>27200</v>
      </c>
      <c r="C29" s="10">
        <v>73</v>
      </c>
      <c r="D29" s="6">
        <v>28544</v>
      </c>
      <c r="E29" s="6">
        <v>178680</v>
      </c>
      <c r="F29" s="7"/>
    </row>
    <row r="30" spans="1:6" x14ac:dyDescent="0.3">
      <c r="A30" s="5">
        <v>45992</v>
      </c>
      <c r="B30" s="6">
        <v>29400</v>
      </c>
      <c r="C30" s="10">
        <v>80</v>
      </c>
      <c r="D30" s="6">
        <v>30816</v>
      </c>
      <c r="E30" s="6">
        <v>192040</v>
      </c>
      <c r="F30" s="7"/>
    </row>
  </sheetData>
  <autoFilter ref="A6:E30" xr:uid="{00000000-0009-0000-0000-000009000000}"/>
  <mergeCells count="4">
    <mergeCell ref="A2:F2"/>
    <mergeCell ref="A1:F1"/>
    <mergeCell ref="B3:E3"/>
    <mergeCell ref="B4:E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Prompt_Bank</vt:lpstr>
      <vt:lpstr>Answer_Key</vt:lpstr>
      <vt:lpstr>Simple_Linear</vt:lpstr>
      <vt:lpstr>Multiple_Regression</vt:lpstr>
      <vt:lpstr>Outlier_Influence</vt:lpstr>
      <vt:lpstr>Multicollinearity</vt:lpstr>
      <vt:lpstr>Nonlinear_Risk</vt:lpstr>
      <vt:lpstr>Binary_Outcome</vt:lpstr>
      <vt:lpstr>Time_Leakage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Zapata</cp:lastModifiedBy>
  <dcterms:created xsi:type="dcterms:W3CDTF">2026-07-13T19:34:28Z</dcterms:created>
  <dcterms:modified xsi:type="dcterms:W3CDTF">2026-07-14T00:16:03Z</dcterms:modified>
</cp:coreProperties>
</file>