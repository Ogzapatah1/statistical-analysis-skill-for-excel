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GitHub Projects\statistical-analysis-skill\tests\Regression\"/>
    </mc:Choice>
  </mc:AlternateContent>
  <xr:revisionPtr revIDLastSave="0" documentId="13_ncr:1_{B7879B3A-DEA5-437F-BF09-9CA485624C53}" xr6:coauthVersionLast="47" xr6:coauthVersionMax="47" xr10:uidLastSave="{00000000-0000-0000-0000-000000000000}"/>
  <bookViews>
    <workbookView xWindow="-108" yWindow="-108" windowWidth="23256" windowHeight="12576" tabRatio="854" firstSheet="11" xr2:uid="{00000000-000D-0000-FFFF-FFFF00000000}"/>
  </bookViews>
  <sheets>
    <sheet name="README" sheetId="1" r:id="rId1"/>
    <sheet name="Prompt_Bank" sheetId="2" r:id="rId2"/>
    <sheet name="Answer_Key" sheetId="3" r:id="rId3"/>
    <sheet name="Simple_Linear" sheetId="4" r:id="rId4"/>
    <sheet name="Simple_Linear_Reg_Analysis" sheetId="13" r:id="rId5"/>
    <sheet name="Multiple_Regression" sheetId="5" r:id="rId6"/>
    <sheet name="Regression_Model_Summary" sheetId="12" r:id="rId7"/>
    <sheet name="Outlier_Influence" sheetId="6" r:id="rId8"/>
    <sheet name="Outlier_Influence_Reg_Analysis" sheetId="14" r:id="rId9"/>
    <sheet name="Multicollinearity" sheetId="7" r:id="rId10"/>
    <sheet name="Multicollinearity_Reg_Analysis" sheetId="15" r:id="rId11"/>
    <sheet name="Nonlinear_Risk" sheetId="8" r:id="rId12"/>
    <sheet name="Nonlinear_Risk_Reg_Analysis" sheetId="16" r:id="rId13"/>
    <sheet name="Binary_Outcome" sheetId="9" r:id="rId14"/>
    <sheet name="Binary_Outcome_Reg_Analysis" sheetId="17" r:id="rId15"/>
    <sheet name="Time_Leakage" sheetId="10" r:id="rId16"/>
    <sheet name="Time_Leakage_Reg_Analysis" sheetId="18" r:id="rId17"/>
  </sheets>
  <definedNames>
    <definedName name="_xlnm._FilterDatabase" localSheetId="13" hidden="1">Binary_Outcome!$A$6:$E$34</definedName>
    <definedName name="_xlnm._FilterDatabase" localSheetId="9" hidden="1">Multicollinearity!$A$6:$E$36</definedName>
    <definedName name="_xlnm._FilterDatabase" localSheetId="5" hidden="1">Multiple_Regression!$A$6:$F$36</definedName>
    <definedName name="_xlnm._FilterDatabase" localSheetId="11" hidden="1">Nonlinear_Risk!$A$6:$C$30</definedName>
    <definedName name="_xlnm._FilterDatabase" localSheetId="7" hidden="1">Outlier_Influence!$A$6:$D$30</definedName>
    <definedName name="_xlnm._FilterDatabase" localSheetId="3" hidden="1">Simple_Linear!$A$6:$D$30</definedName>
    <definedName name="_xlnm._FilterDatabase" localSheetId="15" hidden="1">Time_Leakage!$A$6:$E$30</definedName>
  </definedNames>
  <calcPr calcId="181029" forceFullCalc="1"/>
</workbook>
</file>

<file path=xl/calcChain.xml><?xml version="1.0" encoding="utf-8"?>
<calcChain xmlns="http://schemas.openxmlformats.org/spreadsheetml/2006/main">
  <c r="K17" i="18" l="1"/>
  <c r="K15" i="18"/>
  <c r="K16" i="18" s="1"/>
  <c r="K14" i="18"/>
  <c r="K13" i="18"/>
  <c r="K12" i="18"/>
  <c r="C69" i="16"/>
  <c r="B69" i="16"/>
  <c r="A69" i="16"/>
  <c r="C68" i="16"/>
  <c r="B68" i="16"/>
  <c r="A68" i="16"/>
  <c r="C34" i="16"/>
  <c r="C82" i="16"/>
  <c r="B82" i="16"/>
  <c r="A82" i="16"/>
  <c r="C81" i="16"/>
  <c r="B81" i="16"/>
  <c r="A81" i="16"/>
  <c r="C80" i="16"/>
  <c r="B80" i="16"/>
  <c r="A80" i="16"/>
  <c r="C79" i="16"/>
  <c r="B79" i="16"/>
  <c r="A79" i="16"/>
  <c r="C78" i="16"/>
  <c r="B78" i="16"/>
  <c r="A78" i="16"/>
  <c r="C77" i="16"/>
  <c r="B77" i="16"/>
  <c r="A77" i="16"/>
  <c r="C72" i="16"/>
  <c r="B72" i="16"/>
  <c r="A72" i="16"/>
  <c r="C71" i="16"/>
  <c r="B71" i="16"/>
  <c r="A71" i="16"/>
  <c r="C70" i="16"/>
  <c r="B70" i="16"/>
  <c r="A70" i="16"/>
  <c r="C67" i="16"/>
  <c r="B67" i="16"/>
  <c r="A67" i="16"/>
  <c r="C66" i="16"/>
  <c r="B66" i="16"/>
  <c r="A66" i="16"/>
  <c r="C65" i="16"/>
  <c r="B65" i="16"/>
  <c r="A65" i="16"/>
  <c r="C64" i="16"/>
  <c r="B64" i="16"/>
  <c r="A64" i="16"/>
  <c r="C63" i="16"/>
  <c r="B63" i="16"/>
  <c r="A63" i="16"/>
  <c r="C62" i="16"/>
  <c r="B62" i="16"/>
  <c r="A62" i="16"/>
  <c r="C61" i="16"/>
  <c r="B61" i="16"/>
  <c r="A61" i="16"/>
  <c r="C60" i="16"/>
  <c r="B60" i="16"/>
  <c r="A60" i="16"/>
  <c r="C59" i="16"/>
  <c r="B59" i="16"/>
  <c r="A59" i="16"/>
  <c r="C58" i="16"/>
  <c r="B58" i="16"/>
  <c r="A58" i="16"/>
  <c r="C57" i="16"/>
  <c r="B57" i="16"/>
  <c r="A57" i="16"/>
  <c r="C56" i="16"/>
  <c r="B56" i="16"/>
  <c r="A56" i="16"/>
  <c r="C55" i="16"/>
  <c r="B55" i="16"/>
  <c r="A55" i="16"/>
  <c r="C54" i="16"/>
  <c r="B54" i="16"/>
  <c r="A54" i="16"/>
  <c r="C53" i="16"/>
  <c r="B53" i="16"/>
  <c r="A53" i="16"/>
  <c r="C52" i="16"/>
  <c r="B52" i="16"/>
  <c r="A52" i="16"/>
  <c r="C51" i="16"/>
  <c r="B51" i="16"/>
  <c r="A51" i="16"/>
  <c r="C50" i="16"/>
  <c r="B50" i="16"/>
  <c r="A50" i="16"/>
  <c r="C49" i="16"/>
  <c r="B49" i="16"/>
  <c r="A49" i="16"/>
  <c r="B35" i="16"/>
  <c r="B34" i="16"/>
  <c r="D28" i="16" s="1"/>
  <c r="F28" i="16" s="1"/>
  <c r="B19" i="16"/>
  <c r="B18" i="16"/>
  <c r="B10" i="16"/>
  <c r="B43" i="8" s="1"/>
  <c r="B8" i="16"/>
  <c r="B7" i="16"/>
  <c r="C66" i="15"/>
  <c r="B66" i="15"/>
  <c r="A66" i="15"/>
  <c r="C65" i="15"/>
  <c r="B65" i="15"/>
  <c r="A65" i="15"/>
  <c r="C64" i="15"/>
  <c r="B64" i="15"/>
  <c r="A64" i="15"/>
  <c r="C63" i="15"/>
  <c r="B63" i="15"/>
  <c r="A63" i="15"/>
  <c r="C62" i="15"/>
  <c r="B62" i="15"/>
  <c r="A62" i="15"/>
  <c r="C61" i="15"/>
  <c r="B61" i="15"/>
  <c r="A61" i="15"/>
  <c r="C37" i="15"/>
  <c r="B37" i="15"/>
  <c r="C36" i="15"/>
  <c r="B36" i="15"/>
  <c r="D21" i="15" s="1"/>
  <c r="C35" i="15"/>
  <c r="B35" i="15"/>
  <c r="C50" i="15" s="1"/>
  <c r="C34" i="15"/>
  <c r="B34" i="15"/>
  <c r="B50" i="15" s="1"/>
  <c r="B10" i="15"/>
  <c r="B8" i="15"/>
  <c r="B7" i="15"/>
  <c r="G30" i="6"/>
  <c r="G29" i="6"/>
  <c r="G28" i="6"/>
  <c r="G27" i="6"/>
  <c r="G26" i="6"/>
  <c r="G25" i="6"/>
  <c r="G24" i="6"/>
  <c r="G23" i="6"/>
  <c r="G22" i="6"/>
  <c r="G21" i="6"/>
  <c r="G20" i="6"/>
  <c r="G19" i="6"/>
  <c r="G18" i="6"/>
  <c r="G17" i="6"/>
  <c r="G16" i="6"/>
  <c r="G15" i="6"/>
  <c r="G14" i="6"/>
  <c r="G13" i="6"/>
  <c r="G12" i="6"/>
  <c r="G11" i="6"/>
  <c r="G10" i="6"/>
  <c r="G9" i="6"/>
  <c r="G8" i="6"/>
  <c r="C50" i="14"/>
  <c r="B50" i="14"/>
  <c r="D50" i="14" s="1"/>
  <c r="A50" i="14"/>
  <c r="E33" i="14"/>
  <c r="D33" i="14"/>
  <c r="C33" i="14"/>
  <c r="B33" i="14"/>
  <c r="D28" i="14" s="1"/>
  <c r="F28" i="14" s="1"/>
  <c r="F27" i="14"/>
  <c r="B13" i="14"/>
  <c r="B10" i="14"/>
  <c r="B39" i="6" s="1"/>
  <c r="B8" i="14"/>
  <c r="B7" i="14"/>
  <c r="B41" i="6"/>
  <c r="B40" i="6"/>
  <c r="B38" i="6"/>
  <c r="G7" i="6"/>
  <c r="C74" i="13"/>
  <c r="B74" i="13"/>
  <c r="A74" i="13"/>
  <c r="C73" i="13"/>
  <c r="B73" i="13"/>
  <c r="A73" i="13"/>
  <c r="C72" i="13"/>
  <c r="B72" i="13"/>
  <c r="A72" i="13"/>
  <c r="C71" i="13"/>
  <c r="B71" i="13"/>
  <c r="A71" i="13"/>
  <c r="C70" i="13"/>
  <c r="B70" i="13"/>
  <c r="A70" i="13"/>
  <c r="E64" i="13"/>
  <c r="B64" i="13"/>
  <c r="A64" i="13"/>
  <c r="E63" i="13"/>
  <c r="B63" i="13"/>
  <c r="A63" i="13"/>
  <c r="E62" i="13"/>
  <c r="B62" i="13"/>
  <c r="A62" i="13"/>
  <c r="E61" i="13"/>
  <c r="B61" i="13"/>
  <c r="A61" i="13"/>
  <c r="E60" i="13"/>
  <c r="B60" i="13"/>
  <c r="A60" i="13"/>
  <c r="E59" i="13"/>
  <c r="B59" i="13"/>
  <c r="A59" i="13"/>
  <c r="E58" i="13"/>
  <c r="B58" i="13"/>
  <c r="A58" i="13"/>
  <c r="E57" i="13"/>
  <c r="B57" i="13"/>
  <c r="A57" i="13"/>
  <c r="E56" i="13"/>
  <c r="B56" i="13"/>
  <c r="A56" i="13"/>
  <c r="E55" i="13"/>
  <c r="B55" i="13"/>
  <c r="A55" i="13"/>
  <c r="E54" i="13"/>
  <c r="B54" i="13"/>
  <c r="A54" i="13"/>
  <c r="E53" i="13"/>
  <c r="B53" i="13"/>
  <c r="A53" i="13"/>
  <c r="E52" i="13"/>
  <c r="B52" i="13"/>
  <c r="A52" i="13"/>
  <c r="E51" i="13"/>
  <c r="B51" i="13"/>
  <c r="A51" i="13"/>
  <c r="E50" i="13"/>
  <c r="B50" i="13"/>
  <c r="A50" i="13"/>
  <c r="E49" i="13"/>
  <c r="B49" i="13"/>
  <c r="A49" i="13"/>
  <c r="E48" i="13"/>
  <c r="B48" i="13"/>
  <c r="A48" i="13"/>
  <c r="E47" i="13"/>
  <c r="B47" i="13"/>
  <c r="A47" i="13"/>
  <c r="E46" i="13"/>
  <c r="B46" i="13"/>
  <c r="A46" i="13"/>
  <c r="E45" i="13"/>
  <c r="B45" i="13"/>
  <c r="A45" i="13"/>
  <c r="E44" i="13"/>
  <c r="B44" i="13"/>
  <c r="A44" i="13"/>
  <c r="E43" i="13"/>
  <c r="B43" i="13"/>
  <c r="A43" i="13"/>
  <c r="E42" i="13"/>
  <c r="B42" i="13"/>
  <c r="A42" i="13"/>
  <c r="C69" i="13"/>
  <c r="B69" i="13"/>
  <c r="A69" i="13"/>
  <c r="E41" i="13"/>
  <c r="B41" i="13"/>
  <c r="A41" i="13"/>
  <c r="B34" i="13"/>
  <c r="C33" i="13"/>
  <c r="B33" i="13"/>
  <c r="B38" i="4" s="1"/>
  <c r="B11" i="13"/>
  <c r="B10" i="13"/>
  <c r="B8" i="13"/>
  <c r="B7" i="13"/>
  <c r="C66" i="12"/>
  <c r="B66" i="12"/>
  <c r="A66" i="12"/>
  <c r="C65" i="12"/>
  <c r="B65" i="12"/>
  <c r="A65" i="12"/>
  <c r="C64" i="12"/>
  <c r="B64" i="12"/>
  <c r="A64" i="12"/>
  <c r="C63" i="12"/>
  <c r="B63" i="12"/>
  <c r="A63" i="12"/>
  <c r="C62" i="12"/>
  <c r="B62" i="12"/>
  <c r="A62" i="12"/>
  <c r="C61" i="12"/>
  <c r="B61" i="12"/>
  <c r="A61" i="12"/>
  <c r="C35" i="12"/>
  <c r="B35" i="12"/>
  <c r="C34" i="12"/>
  <c r="B34" i="12"/>
  <c r="B45" i="5" s="1"/>
  <c r="C33" i="12"/>
  <c r="B33" i="12"/>
  <c r="D21" i="12" s="1"/>
  <c r="F21" i="12" s="1"/>
  <c r="C32" i="12"/>
  <c r="B32" i="12"/>
  <c r="C31" i="12"/>
  <c r="B31" i="12"/>
  <c r="B10" i="12"/>
  <c r="B48" i="5" s="1"/>
  <c r="B8" i="12"/>
  <c r="B7" i="12"/>
  <c r="B50" i="10" l="1"/>
  <c r="F28" i="10"/>
  <c r="G28" i="10" s="1"/>
  <c r="F30" i="10"/>
  <c r="G30" i="10" s="1"/>
  <c r="F29" i="10"/>
  <c r="G29" i="10" s="1"/>
  <c r="F26" i="10"/>
  <c r="G26" i="10" s="1"/>
  <c r="F27" i="10"/>
  <c r="G27" i="10" s="1"/>
  <c r="F24" i="10"/>
  <c r="G24" i="10" s="1"/>
  <c r="F25" i="10"/>
  <c r="G25" i="10" s="1"/>
  <c r="F23" i="10"/>
  <c r="G23" i="10" s="1"/>
  <c r="F21" i="10"/>
  <c r="G21" i="10" s="1"/>
  <c r="F22" i="10"/>
  <c r="G22" i="10" s="1"/>
  <c r="F19" i="10"/>
  <c r="G19" i="10" s="1"/>
  <c r="F20" i="10"/>
  <c r="G20" i="10" s="1"/>
  <c r="F18" i="10"/>
  <c r="G18" i="10" s="1"/>
  <c r="F16" i="10"/>
  <c r="G16" i="10" s="1"/>
  <c r="F17" i="10"/>
  <c r="G17" i="10" s="1"/>
  <c r="F14" i="10"/>
  <c r="G14" i="10" s="1"/>
  <c r="F15" i="10"/>
  <c r="G15" i="10" s="1"/>
  <c r="F13" i="10"/>
  <c r="G13" i="10" s="1"/>
  <c r="F12" i="10"/>
  <c r="G12" i="10" s="1"/>
  <c r="F11" i="10"/>
  <c r="G11" i="10" s="1"/>
  <c r="F10" i="10"/>
  <c r="G10" i="10" s="1"/>
  <c r="F8" i="10"/>
  <c r="G8" i="10" s="1"/>
  <c r="F9" i="10"/>
  <c r="G9" i="10" s="1"/>
  <c r="F7" i="10"/>
  <c r="G7" i="10" s="1"/>
  <c r="D81" i="16"/>
  <c r="E81" i="16" s="1"/>
  <c r="D69" i="16"/>
  <c r="E69" i="16" s="1"/>
  <c r="D80" i="16"/>
  <c r="E80" i="16" s="1"/>
  <c r="D68" i="16"/>
  <c r="E68" i="16" s="1"/>
  <c r="D78" i="16"/>
  <c r="E78" i="16" s="1"/>
  <c r="G34" i="16"/>
  <c r="F34" i="16"/>
  <c r="D34" i="16"/>
  <c r="E34" i="16" s="1"/>
  <c r="D82" i="16"/>
  <c r="E82" i="16" s="1"/>
  <c r="D79" i="16"/>
  <c r="E79" i="16" s="1"/>
  <c r="D77" i="16"/>
  <c r="E77" i="16" s="1"/>
  <c r="D71" i="16"/>
  <c r="E71" i="16" s="1"/>
  <c r="E13" i="8"/>
  <c r="F13" i="8" s="1"/>
  <c r="E21" i="8"/>
  <c r="F21" i="8" s="1"/>
  <c r="E29" i="8"/>
  <c r="F29" i="8" s="1"/>
  <c r="D50" i="16"/>
  <c r="E50" i="16" s="1"/>
  <c r="D54" i="16"/>
  <c r="E54" i="16" s="1"/>
  <c r="D58" i="16"/>
  <c r="E58" i="16" s="1"/>
  <c r="D62" i="16"/>
  <c r="E62" i="16" s="1"/>
  <c r="D66" i="16"/>
  <c r="E66" i="16" s="1"/>
  <c r="D70" i="16"/>
  <c r="E70" i="16" s="1"/>
  <c r="E15" i="8"/>
  <c r="F15" i="8" s="1"/>
  <c r="E23" i="8"/>
  <c r="F23" i="8" s="1"/>
  <c r="D51" i="16"/>
  <c r="E51" i="16" s="1"/>
  <c r="D55" i="16"/>
  <c r="E55" i="16" s="1"/>
  <c r="D59" i="16"/>
  <c r="E59" i="16" s="1"/>
  <c r="D63" i="16"/>
  <c r="E63" i="16" s="1"/>
  <c r="D67" i="16"/>
  <c r="E67" i="16" s="1"/>
  <c r="E30" i="8"/>
  <c r="F30" i="8" s="1"/>
  <c r="E9" i="8"/>
  <c r="F9" i="8" s="1"/>
  <c r="E17" i="8"/>
  <c r="F17" i="8" s="1"/>
  <c r="E25" i="8"/>
  <c r="F25" i="8" s="1"/>
  <c r="D52" i="16"/>
  <c r="E52" i="16" s="1"/>
  <c r="D56" i="16"/>
  <c r="E56" i="16" s="1"/>
  <c r="D60" i="16"/>
  <c r="E60" i="16" s="1"/>
  <c r="D64" i="16"/>
  <c r="E64" i="16" s="1"/>
  <c r="D72" i="16"/>
  <c r="E72" i="16" s="1"/>
  <c r="E11" i="8"/>
  <c r="F11" i="8" s="1"/>
  <c r="E19" i="8"/>
  <c r="F19" i="8" s="1"/>
  <c r="E27" i="8"/>
  <c r="F27" i="8" s="1"/>
  <c r="D53" i="16"/>
  <c r="E53" i="16" s="1"/>
  <c r="D57" i="16"/>
  <c r="E57" i="16" s="1"/>
  <c r="D61" i="16"/>
  <c r="E61" i="16" s="1"/>
  <c r="D65" i="16"/>
  <c r="E65" i="16" s="1"/>
  <c r="E8" i="8"/>
  <c r="F8" i="8" s="1"/>
  <c r="E10" i="8"/>
  <c r="F10" i="8" s="1"/>
  <c r="E12" i="8"/>
  <c r="F12" i="8" s="1"/>
  <c r="E14" i="8"/>
  <c r="F14" i="8" s="1"/>
  <c r="E16" i="8"/>
  <c r="F16" i="8" s="1"/>
  <c r="E18" i="8"/>
  <c r="F18" i="8" s="1"/>
  <c r="E20" i="8"/>
  <c r="F20" i="8" s="1"/>
  <c r="E22" i="8"/>
  <c r="F22" i="8" s="1"/>
  <c r="E24" i="8"/>
  <c r="F24" i="8" s="1"/>
  <c r="E26" i="8"/>
  <c r="F26" i="8" s="1"/>
  <c r="E28" i="8"/>
  <c r="F28" i="8" s="1"/>
  <c r="D49" i="16"/>
  <c r="E49" i="16" s="1"/>
  <c r="E7" i="8"/>
  <c r="F7" i="8" s="1"/>
  <c r="B44" i="16"/>
  <c r="B43" i="16"/>
  <c r="B42" i="16"/>
  <c r="B41" i="16"/>
  <c r="B40" i="16"/>
  <c r="B42" i="8"/>
  <c r="B38" i="8"/>
  <c r="B39" i="8"/>
  <c r="B22" i="16"/>
  <c r="B21" i="16"/>
  <c r="B9" i="16"/>
  <c r="D64" i="15"/>
  <c r="E64" i="15" s="1"/>
  <c r="D65" i="15"/>
  <c r="E65" i="15" s="1"/>
  <c r="D63" i="15"/>
  <c r="E63" i="15" s="1"/>
  <c r="D66" i="15"/>
  <c r="E66" i="15" s="1"/>
  <c r="D62" i="15"/>
  <c r="E62" i="15" s="1"/>
  <c r="G36" i="7"/>
  <c r="H36" i="7" s="1"/>
  <c r="G15" i="7"/>
  <c r="H15" i="7" s="1"/>
  <c r="G23" i="7"/>
  <c r="H23" i="7" s="1"/>
  <c r="G31" i="7"/>
  <c r="H31" i="7" s="1"/>
  <c r="G9" i="7"/>
  <c r="H9" i="7" s="1"/>
  <c r="G17" i="7"/>
  <c r="H17" i="7" s="1"/>
  <c r="G25" i="7"/>
  <c r="H25" i="7" s="1"/>
  <c r="G33" i="7"/>
  <c r="H33" i="7" s="1"/>
  <c r="G11" i="7"/>
  <c r="H11" i="7" s="1"/>
  <c r="G19" i="7"/>
  <c r="H19" i="7" s="1"/>
  <c r="G27" i="7"/>
  <c r="H27" i="7" s="1"/>
  <c r="G35" i="7"/>
  <c r="H35" i="7" s="1"/>
  <c r="G13" i="7"/>
  <c r="H13" i="7" s="1"/>
  <c r="G21" i="7"/>
  <c r="H21" i="7" s="1"/>
  <c r="G29" i="7"/>
  <c r="H29" i="7" s="1"/>
  <c r="G8" i="7"/>
  <c r="H8" i="7" s="1"/>
  <c r="G10" i="7"/>
  <c r="H10" i="7" s="1"/>
  <c r="G12" i="7"/>
  <c r="H12" i="7" s="1"/>
  <c r="G14" i="7"/>
  <c r="H14" i="7" s="1"/>
  <c r="G16" i="7"/>
  <c r="H16" i="7" s="1"/>
  <c r="G18" i="7"/>
  <c r="H18" i="7" s="1"/>
  <c r="G20" i="7"/>
  <c r="H20" i="7" s="1"/>
  <c r="G22" i="7"/>
  <c r="H22" i="7" s="1"/>
  <c r="G24" i="7"/>
  <c r="H24" i="7" s="1"/>
  <c r="G26" i="7"/>
  <c r="H26" i="7" s="1"/>
  <c r="G28" i="7"/>
  <c r="H28" i="7" s="1"/>
  <c r="G30" i="7"/>
  <c r="H30" i="7" s="1"/>
  <c r="G32" i="7"/>
  <c r="H32" i="7" s="1"/>
  <c r="G34" i="7"/>
  <c r="H34" i="7" s="1"/>
  <c r="D61" i="15"/>
  <c r="E61" i="15" s="1"/>
  <c r="D50" i="15"/>
  <c r="D37" i="15"/>
  <c r="E37" i="15" s="1"/>
  <c r="G37" i="15"/>
  <c r="F37" i="15"/>
  <c r="G36" i="15"/>
  <c r="F36" i="15"/>
  <c r="G7" i="7"/>
  <c r="H7" i="7" s="1"/>
  <c r="D36" i="15"/>
  <c r="E36" i="15" s="1"/>
  <c r="D20" i="15"/>
  <c r="B44" i="7"/>
  <c r="D35" i="15"/>
  <c r="E35" i="15" s="1"/>
  <c r="G35" i="15"/>
  <c r="F35" i="15"/>
  <c r="G34" i="15"/>
  <c r="F34" i="15"/>
  <c r="D34" i="15"/>
  <c r="E34" i="15" s="1"/>
  <c r="D19" i="15"/>
  <c r="B45" i="7"/>
  <c r="B9" i="15"/>
  <c r="F7" i="6"/>
  <c r="F9" i="6"/>
  <c r="F13" i="6"/>
  <c r="F17" i="6"/>
  <c r="F21" i="6"/>
  <c r="F25" i="6"/>
  <c r="F11" i="6"/>
  <c r="F15" i="6"/>
  <c r="F19" i="6"/>
  <c r="F23" i="6"/>
  <c r="F29" i="6"/>
  <c r="F8" i="6"/>
  <c r="F10" i="6"/>
  <c r="F12" i="6"/>
  <c r="F14" i="6"/>
  <c r="F16" i="6"/>
  <c r="F18" i="6"/>
  <c r="F20" i="6"/>
  <c r="F22" i="6"/>
  <c r="F24" i="6"/>
  <c r="F26" i="6"/>
  <c r="F28" i="6"/>
  <c r="F30" i="6"/>
  <c r="F27" i="6"/>
  <c r="E50" i="14"/>
  <c r="B9" i="14"/>
  <c r="D72" i="13"/>
  <c r="E72" i="13" s="1"/>
  <c r="D73" i="13"/>
  <c r="E73" i="13" s="1"/>
  <c r="D71" i="13"/>
  <c r="E71" i="13" s="1"/>
  <c r="D74" i="13"/>
  <c r="E74" i="13" s="1"/>
  <c r="D70" i="13"/>
  <c r="E70" i="13" s="1"/>
  <c r="C62" i="13"/>
  <c r="D62" i="13" s="1"/>
  <c r="C43" i="13"/>
  <c r="D43" i="13" s="1"/>
  <c r="C47" i="13"/>
  <c r="D47" i="13" s="1"/>
  <c r="C51" i="13"/>
  <c r="D51" i="13" s="1"/>
  <c r="C55" i="13"/>
  <c r="D55" i="13" s="1"/>
  <c r="C59" i="13"/>
  <c r="D59" i="13" s="1"/>
  <c r="C63" i="13"/>
  <c r="D63" i="13" s="1"/>
  <c r="C44" i="13"/>
  <c r="D44" i="13" s="1"/>
  <c r="C48" i="13"/>
  <c r="D48" i="13" s="1"/>
  <c r="C52" i="13"/>
  <c r="D52" i="13" s="1"/>
  <c r="C56" i="13"/>
  <c r="D56" i="13" s="1"/>
  <c r="C60" i="13"/>
  <c r="D60" i="13" s="1"/>
  <c r="C64" i="13"/>
  <c r="D64" i="13" s="1"/>
  <c r="C45" i="13"/>
  <c r="D45" i="13" s="1"/>
  <c r="C49" i="13"/>
  <c r="D49" i="13" s="1"/>
  <c r="C53" i="13"/>
  <c r="D53" i="13" s="1"/>
  <c r="C57" i="13"/>
  <c r="D57" i="13" s="1"/>
  <c r="C61" i="13"/>
  <c r="D61" i="13" s="1"/>
  <c r="C42" i="13"/>
  <c r="D42" i="13" s="1"/>
  <c r="C46" i="13"/>
  <c r="D46" i="13" s="1"/>
  <c r="C50" i="13"/>
  <c r="D50" i="13" s="1"/>
  <c r="C54" i="13"/>
  <c r="D54" i="13" s="1"/>
  <c r="C58" i="13"/>
  <c r="D58" i="13" s="1"/>
  <c r="C41" i="13"/>
  <c r="D41" i="13" s="1"/>
  <c r="D69" i="13"/>
  <c r="E69" i="13" s="1"/>
  <c r="B39" i="4"/>
  <c r="F33" i="13"/>
  <c r="G33" i="13"/>
  <c r="D33" i="13"/>
  <c r="E33" i="13" s="1"/>
  <c r="D20" i="13"/>
  <c r="F20" i="13" s="1"/>
  <c r="B9" i="13"/>
  <c r="B41" i="4"/>
  <c r="D64" i="12"/>
  <c r="E64" i="12" s="1"/>
  <c r="D63" i="12"/>
  <c r="E63" i="12" s="1"/>
  <c r="D62" i="12"/>
  <c r="E62" i="12" s="1"/>
  <c r="D65" i="12"/>
  <c r="E65" i="12" s="1"/>
  <c r="D66" i="12"/>
  <c r="E66" i="12" s="1"/>
  <c r="H36" i="5"/>
  <c r="I36" i="5" s="1"/>
  <c r="H15" i="5"/>
  <c r="I15" i="5" s="1"/>
  <c r="H23" i="5"/>
  <c r="I23" i="5" s="1"/>
  <c r="H31" i="5"/>
  <c r="I31" i="5" s="1"/>
  <c r="H9" i="5"/>
  <c r="I9" i="5" s="1"/>
  <c r="H17" i="5"/>
  <c r="I17" i="5" s="1"/>
  <c r="H25" i="5"/>
  <c r="I25" i="5" s="1"/>
  <c r="H33" i="5"/>
  <c r="I33" i="5" s="1"/>
  <c r="H11" i="5"/>
  <c r="I11" i="5" s="1"/>
  <c r="H19" i="5"/>
  <c r="I19" i="5" s="1"/>
  <c r="H27" i="5"/>
  <c r="I27" i="5" s="1"/>
  <c r="H35" i="5"/>
  <c r="I35" i="5" s="1"/>
  <c r="H13" i="5"/>
  <c r="I13" i="5" s="1"/>
  <c r="H21" i="5"/>
  <c r="I21" i="5" s="1"/>
  <c r="H29" i="5"/>
  <c r="I29" i="5" s="1"/>
  <c r="H8" i="5"/>
  <c r="I8" i="5" s="1"/>
  <c r="H10" i="5"/>
  <c r="I10" i="5" s="1"/>
  <c r="H12" i="5"/>
  <c r="I12" i="5" s="1"/>
  <c r="H14" i="5"/>
  <c r="I14" i="5" s="1"/>
  <c r="H16" i="5"/>
  <c r="I16" i="5" s="1"/>
  <c r="H18" i="5"/>
  <c r="I18" i="5" s="1"/>
  <c r="H20" i="5"/>
  <c r="I20" i="5" s="1"/>
  <c r="H22" i="5"/>
  <c r="I22" i="5" s="1"/>
  <c r="H24" i="5"/>
  <c r="I24" i="5" s="1"/>
  <c r="H26" i="5"/>
  <c r="I26" i="5" s="1"/>
  <c r="H28" i="5"/>
  <c r="I28" i="5" s="1"/>
  <c r="H30" i="5"/>
  <c r="I30" i="5" s="1"/>
  <c r="H32" i="5"/>
  <c r="I32" i="5" s="1"/>
  <c r="H34" i="5"/>
  <c r="I34" i="5" s="1"/>
  <c r="D61" i="12"/>
  <c r="E61" i="12" s="1"/>
  <c r="B46" i="5"/>
  <c r="D20" i="12"/>
  <c r="F20" i="12" s="1"/>
  <c r="F35" i="12"/>
  <c r="G35" i="12"/>
  <c r="D35" i="12"/>
  <c r="E35" i="12" s="1"/>
  <c r="F34" i="12"/>
  <c r="G34" i="12"/>
  <c r="D34" i="12"/>
  <c r="E34" i="12" s="1"/>
  <c r="B47" i="5"/>
  <c r="G33" i="12"/>
  <c r="F33" i="12"/>
  <c r="D33" i="12"/>
  <c r="E33" i="12" s="1"/>
  <c r="F32" i="12"/>
  <c r="G32" i="12"/>
  <c r="D32" i="12"/>
  <c r="E32" i="12" s="1"/>
  <c r="G31" i="12"/>
  <c r="F31" i="12"/>
  <c r="D31" i="12"/>
  <c r="E31" i="12" s="1"/>
  <c r="B44" i="5"/>
  <c r="D19" i="12"/>
  <c r="F19" i="12" s="1"/>
  <c r="H7" i="5"/>
  <c r="I7" i="5" s="1"/>
  <c r="B9" i="12"/>
  <c r="B51" i="10" l="1"/>
  <c r="B52" i="10"/>
  <c r="B13" i="16"/>
  <c r="B12" i="16"/>
  <c r="B40" i="8"/>
  <c r="B13" i="15"/>
  <c r="B12" i="15"/>
  <c r="B29" i="13"/>
  <c r="B43" i="4" s="1"/>
  <c r="B14" i="13"/>
  <c r="B13" i="13"/>
  <c r="B42" i="4"/>
  <c r="B13" i="12"/>
  <c r="B49" i="5" s="1"/>
  <c r="B12" i="12"/>
  <c r="B23" i="16" l="1"/>
  <c r="B41" i="8"/>
  <c r="B48" i="7"/>
</calcChain>
</file>

<file path=xl/sharedStrings.xml><?xml version="1.0" encoding="utf-8"?>
<sst xmlns="http://schemas.openxmlformats.org/spreadsheetml/2006/main" count="1160" uniqueCount="590">
  <si>
    <t>Regression Skill Test Workbook</t>
  </si>
  <si>
    <t>Version</t>
  </si>
  <si>
    <t>Purpose</t>
  </si>
  <si>
    <t>Test whether the Excel skill selects, executes, explains, and classifies regression models for common business questions.</t>
  </si>
  <si>
    <t>How to use</t>
  </si>
  <si>
    <t>Required output 1</t>
  </si>
  <si>
    <t>A nine-point Regression Analysis Results section on the same worksheet as the source data.</t>
  </si>
  <si>
    <t>Required output 2</t>
  </si>
  <si>
    <t>A new Regression_Model_Summary worksheet with model statistics, coefficients, predictions, residuals, diagnostics, and the three most relevant predictors.</t>
  </si>
  <si>
    <t>Classification</t>
  </si>
  <si>
    <t>The main report must end with Ready for decision support, Use with caution, or Do not rely on this model yet, using green, yellow, or red formatting.</t>
  </si>
  <si>
    <t>Interpretation standard</t>
  </si>
  <si>
    <t>Connect statistical outputs to the business question, distinguish association from causation, and avoid overwhelming the business user with unnecessary detail.</t>
  </si>
  <si>
    <t>Test coverage</t>
  </si>
  <si>
    <t>Simple OLS, multiple OLS, influential outlier, multicollinearity, nonlinear pattern, binary outcome, and time leakage.</t>
  </si>
  <si>
    <t>Solved copy</t>
  </si>
  <si>
    <t>Regression Test Prompt Bank</t>
  </si>
  <si>
    <t>Use the prompt with the corresponding sheet. The workbook intentionally includes method-selection and diagnostic traps.</t>
  </si>
  <si>
    <t>Test ID</t>
  </si>
  <si>
    <t>Worksheet</t>
  </si>
  <si>
    <t>Prompt</t>
  </si>
  <si>
    <t>REG-01</t>
  </si>
  <si>
    <t>Simple_Linear</t>
  </si>
  <si>
    <t>REG-02</t>
  </si>
  <si>
    <t>Multiple_Regression</t>
  </si>
  <si>
    <t>REG-03</t>
  </si>
  <si>
    <t>Outlier_Influence</t>
  </si>
  <si>
    <t>Evaluate whether marketing spend predicts revenue reliably when one enterprise campaign is much larger than the other observations. Compare results with and without the influential observation.</t>
  </si>
  <si>
    <t>REG-04</t>
  </si>
  <si>
    <t>Multicollinearity</t>
  </si>
  <si>
    <t>Model sales using paid media spend, campaign reach, and brand impressions. Assess whether individual coefficients can be interpreted reliably.</t>
  </si>
  <si>
    <t>REG-05</t>
  </si>
  <si>
    <t>Nonlinear_Risk</t>
  </si>
  <si>
    <t>Assess whether a straight-line regression is appropriate for forecasting sales response to marketing spend across the full investment range.</t>
  </si>
  <si>
    <t>REG-06</t>
  </si>
  <si>
    <t>Binary_Outcome</t>
  </si>
  <si>
    <t>Predict customer churn from service tickets, tenure, and monthly spend. Decide whether ordinary linear regression is appropriate before modeling.</t>
  </si>
  <si>
    <t>REG-07</t>
  </si>
  <si>
    <t>Time_Leakage</t>
  </si>
  <si>
    <t>Build a planning model for monthly sales using only information available before month end. Check whether every proposed predictor is valid at prediction time.</t>
  </si>
  <si>
    <t>Regression Test Answer Key</t>
  </si>
  <si>
    <t>Use this sheet to assess method selection, interpretation, diagnostics, mandatory outputs, and model classification.</t>
  </si>
  <si>
    <t>Expected method</t>
  </si>
  <si>
    <t>Expected interpretation or warning</t>
  </si>
  <si>
    <t>Expected classification</t>
  </si>
  <si>
    <t>Simple linear OLS</t>
  </si>
  <si>
    <t>A strong positive linear association supports planning, but the result is observational rather than causal.</t>
  </si>
  <si>
    <t>Ready for decision support</t>
  </si>
  <si>
    <t>Multiple OLS</t>
  </si>
  <si>
    <t>Interpret each coefficient while holding the other predictors constant; surface the top three predictors in the technical summary.</t>
  </si>
  <si>
    <t>OLS sensitivity analysis</t>
  </si>
  <si>
    <t>The enterprise observation materially changes the fitted relationship; the skill should flag influence and avoid a confident decision-ready classification.</t>
  </si>
  <si>
    <t>Use with caution</t>
  </si>
  <si>
    <t>Multiple OLS with collinearity diagnostics</t>
  </si>
  <si>
    <t>The predictors contain heavily overlapping information. Overall fit may look strong while individual coefficients are unstable.</t>
  </si>
  <si>
    <t>Linearity assessment</t>
  </si>
  <si>
    <t>The data show diminishing returns. A single linear slope should not be treated as stable across the full range.</t>
  </si>
  <si>
    <t>Do not rely on this model yet</t>
  </si>
  <si>
    <t>Method-selection gate</t>
  </si>
  <si>
    <t>Churn is binary, so ordinary linear regression is inappropriate. Recommend logistic regression instead.</t>
  </si>
  <si>
    <t>Prediction-time data audit</t>
  </si>
  <si>
    <t>Month-end sales adjustment is calculated after actual sales are known and creates look-ahead leakage. Remove it before fitting.</t>
  </si>
  <si>
    <t>Simple Linear Regression: Marketing Spend and Sales</t>
  </si>
  <si>
    <t>Unsolved test case. Run the regression skill against this sheet and retain both mandatory Excel outputs.</t>
  </si>
  <si>
    <t>Business question</t>
  </si>
  <si>
    <t>Can monthly marketing spend help estimate sales for planning purposes?</t>
  </si>
  <si>
    <t>Design note</t>
  </si>
  <si>
    <t>One continuous outcome and one continuous predictor with a strong linear pattern. Seasonality is supplied as context, not as a predictor for this test.</t>
  </si>
  <si>
    <t>Month</t>
  </si>
  <si>
    <t>Marketing Spend</t>
  </si>
  <si>
    <t>Sales</t>
  </si>
  <si>
    <t>Seasonality Context</t>
  </si>
  <si>
    <t>Multiple Regression: Monthly Sales Drivers</t>
  </si>
  <si>
    <t>Which controllable and operating factors are most useful for estimating monthly sales?</t>
  </si>
  <si>
    <t>Continuous outcome with four candidate predictors. Coefficients must be interpreted conditionally, and the technical summary should report only the three most relevant predictors.</t>
  </si>
  <si>
    <t>Average Discount</t>
  </si>
  <si>
    <t>Seasonality Index</t>
  </si>
  <si>
    <t>Active Sales Reps</t>
  </si>
  <si>
    <t>Regression Diagnostic: Influential Enterprise Campaign</t>
  </si>
  <si>
    <t>Is the marketing-spend relationship stable enough to use across both standard and enterprise campaigns?</t>
  </si>
  <si>
    <t>One high-leverage enterprise observation is intentionally included. Compare the fitted relationship with and without it before classifying the model.</t>
  </si>
  <si>
    <t>Campaign</t>
  </si>
  <si>
    <t>Campaign Type</t>
  </si>
  <si>
    <t>Revenue</t>
  </si>
  <si>
    <t>Campaign 01</t>
  </si>
  <si>
    <t>Standard</t>
  </si>
  <si>
    <t>Campaign 02</t>
  </si>
  <si>
    <t>Campaign 03</t>
  </si>
  <si>
    <t>Campaign 04</t>
  </si>
  <si>
    <t>Campaign 05</t>
  </si>
  <si>
    <t>Campaign 06</t>
  </si>
  <si>
    <t>Campaign 07</t>
  </si>
  <si>
    <t>Campaign 08</t>
  </si>
  <si>
    <t>Campaign 09</t>
  </si>
  <si>
    <t>Campaign 10</t>
  </si>
  <si>
    <t>Campaign 11</t>
  </si>
  <si>
    <t>Campaign 12</t>
  </si>
  <si>
    <t>Campaign 13</t>
  </si>
  <si>
    <t>Campaign 14</t>
  </si>
  <si>
    <t>Campaign 15</t>
  </si>
  <si>
    <t>Campaign 16</t>
  </si>
  <si>
    <t>Campaign 17</t>
  </si>
  <si>
    <t>Campaign 18</t>
  </si>
  <si>
    <t>Campaign 19</t>
  </si>
  <si>
    <t>Campaign 20</t>
  </si>
  <si>
    <t>Campaign 21</t>
  </si>
  <si>
    <t>Campaign 22</t>
  </si>
  <si>
    <t>Enterprise</t>
  </si>
  <si>
    <t>Campaign 23</t>
  </si>
  <si>
    <t>Campaign 24</t>
  </si>
  <si>
    <t>Regression Diagnostic: Overlapping Marketing Predictors</t>
  </si>
  <si>
    <t>Can paid media spend, campaign reach, and brand impressions be interpreted as separate sales drivers?</t>
  </si>
  <si>
    <t>The three predictors are intentionally near-duplicates. Strong overall fit must not be confused with reliable individual coefficient estimates.</t>
  </si>
  <si>
    <t>Region</t>
  </si>
  <si>
    <t>Paid Media Spend</t>
  </si>
  <si>
    <t>Campaign Reach (000s)</t>
  </si>
  <si>
    <t>Brand Impressions (000s)</t>
  </si>
  <si>
    <t>Region 01</t>
  </si>
  <si>
    <t>Region 02</t>
  </si>
  <si>
    <t>Region 03</t>
  </si>
  <si>
    <t>Region 04</t>
  </si>
  <si>
    <t>Region 05</t>
  </si>
  <si>
    <t>Region 06</t>
  </si>
  <si>
    <t>Region 07</t>
  </si>
  <si>
    <t>Region 08</t>
  </si>
  <si>
    <t>Region 09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</si>
  <si>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</si>
  <si>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</si>
  <si>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</si>
  <si>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</si>
  <si>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</si>
  <si>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</si>
  <si>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</si>
  <si>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</si>
  <si>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</si>
  <si>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</si>
  <si>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</si>
  <si>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</si>
  <si>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</si>
  <si>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</si>
  <si>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</si>
  <si>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</si>
  <si>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</si>
  <si>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</si>
  <si>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</si>
  <si>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</si>
  <si>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</si>
  <si>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Regression Diagnostic: Diminishing Marketing Returns</t>
  </si>
  <si>
    <t>Can one straight-line coefficient represent sales response across the full marketing investment range?</t>
  </si>
  <si>
    <t>The relationship intentionally follows diminishing returns. The skill should inspect shape and residual behavior before accepting ordinary linear regression.</t>
  </si>
  <si>
    <t>Market</t>
  </si>
  <si>
    <t>Market 01</t>
  </si>
  <si>
    <t>Market 02</t>
  </si>
  <si>
    <t>Market 03</t>
  </si>
  <si>
    <t>Market 04</t>
  </si>
  <si>
    <t>Market 05</t>
  </si>
  <si>
    <t>Market 06</t>
  </si>
  <si>
    <t>Market 07</t>
  </si>
  <si>
    <t>Market 08</t>
  </si>
  <si>
    <t>Market 09</t>
  </si>
  <si>
    <t>Market 10</t>
  </si>
  <si>
    <t>Market 11</t>
  </si>
  <si>
    <t>Market 12</t>
  </si>
  <si>
    <t>Market 13</t>
  </si>
  <si>
    <t>Market 14</t>
  </si>
  <si>
    <t>Market 15</t>
  </si>
  <si>
    <t>Market 16</t>
  </si>
  <si>
    <t>Market 17</t>
  </si>
  <si>
    <t>Market 18</t>
  </si>
  <si>
    <t>Market 19</t>
  </si>
  <si>
    <t>Market 20</t>
  </si>
  <si>
    <t>Market 21</t>
  </si>
  <si>
    <t>Market 22</t>
  </si>
  <si>
    <t>Market 23</t>
  </si>
  <si>
    <t>Market 24</t>
  </si>
  <si>
    <t>Method Selection: Customer Churn</t>
  </si>
  <si>
    <t>Which customer characteristics are associated with the probability of churn?</t>
  </si>
  <si>
    <t>The outcome is binary (0/1). This is a deliberate method-selection gate: ordinary linear regression should not be used.</t>
  </si>
  <si>
    <t>Customer ID</t>
  </si>
  <si>
    <t>Service Tickets</t>
  </si>
  <si>
    <t>Tenure (Months)</t>
  </si>
  <si>
    <t>Monthly Spend</t>
  </si>
  <si>
    <t>Churn Flag (1=Yes)</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</si>
  <si>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</si>
  <si>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</si>
  <si>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</si>
  <si>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</si>
  <si>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</si>
  <si>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</si>
  <si>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</si>
  <si>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</si>
  <si>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</si>
  <si>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</si>
  <si>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</si>
  <si>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</si>
  <si>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</si>
  <si>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</si>
  <si>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</si>
  <si>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</si>
  <si>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</si>
  <si>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</si>
  <si>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</si>
  <si>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</si>
  <si>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</si>
  <si>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</si>
  <si>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</si>
  <si>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</si>
  <si>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</si>
  <si>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</si>
  <si>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</si>
  <si>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</si>
  <si>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Prediction Diagnostic: Month-End Data Leakage</t>
  </si>
  <si>
    <t>Pre-Month-End Sales Calls</t>
  </si>
  <si>
    <t>Month-End Sales Adjustment</t>
  </si>
  <si>
    <t>Actual Sales</t>
  </si>
  <si>
    <t>Regression Analysis Results</t>
  </si>
  <si>
    <t>Model used</t>
  </si>
  <si>
    <t>Data scope</t>
  </si>
  <si>
    <t>24 monthly observations from Jan-2024 through Dec-2025; no rows excluded.</t>
  </si>
  <si>
    <t>Estimated equation</t>
  </si>
  <si>
    <t>Model reliability</t>
  </si>
  <si>
    <t>Statistical evidence</t>
  </si>
  <si>
    <t>Validation</t>
  </si>
  <si>
    <t>Business recommendation</t>
  </si>
  <si>
    <t>Model classification</t>
  </si>
  <si>
    <t>Causality caution</t>
  </si>
  <si>
    <t>Regression Model Summary</t>
  </si>
  <si>
    <t>Model overview</t>
  </si>
  <si>
    <t>Outcome variable</t>
  </si>
  <si>
    <t>Model type</t>
  </si>
  <si>
    <t>Simple linear regression</t>
  </si>
  <si>
    <t>Predictor list (formula order)</t>
  </si>
  <si>
    <t>Observations</t>
  </si>
  <si>
    <t>R-squared</t>
  </si>
  <si>
    <t>Adjusted R-squared</t>
  </si>
  <si>
    <t>Typical error (STEYX)</t>
  </si>
  <si>
    <t>Validation approach</t>
  </si>
  <si>
    <t>Top predictor summary</t>
  </si>
  <si>
    <t>Rank</t>
  </si>
  <si>
    <t>Predictor</t>
  </si>
  <si>
    <t>Direction</t>
  </si>
  <si>
    <t>Coefficient</t>
  </si>
  <si>
    <t>Reliability</t>
  </si>
  <si>
    <t>Business interpretation</t>
  </si>
  <si>
    <t>Notes</t>
  </si>
  <si>
    <t>Positive</t>
  </si>
  <si>
    <t>Diagnostics summary</t>
  </si>
  <si>
    <t>Check</t>
  </si>
  <si>
    <t>Status</t>
  </si>
  <si>
    <t>Linearity</t>
  </si>
  <si>
    <t>No material concern</t>
  </si>
  <si>
    <t>Outliers</t>
  </si>
  <si>
    <t>Data leakage</t>
  </si>
  <si>
    <t>Omitted seasonality</t>
  </si>
  <si>
    <t>Material concern</t>
  </si>
  <si>
    <t>Intercept</t>
  </si>
  <si>
    <t>Pearson correlation</t>
  </si>
  <si>
    <t>Holdout MAE</t>
  </si>
  <si>
    <t>Holdout RMSE</t>
  </si>
  <si>
    <t>Holdout period</t>
  </si>
  <si>
    <t>Predicted Sales</t>
  </si>
  <si>
    <t>Residual</t>
  </si>
  <si>
    <t>Estimate how monthly marketing spend is associated with sales.</t>
  </si>
  <si>
    <t xml:space="preserve">Estimate monthly sales using marketing spend, average discount, seasonality index, and active sales representatives. </t>
  </si>
  <si>
    <t>Estimate monthly sales using marketing spend, average discount, seasonality index, and active sales representatives.</t>
  </si>
  <si>
    <t>Multiple linear regression with Sales as the continuous outcome and four numeric predictors. Coefficients are conditional associations holding the other included factors constant.</t>
  </si>
  <si>
    <t>30 monthly observations from Jan-2023 through Jun-2025; no missing or excluded rows.</t>
  </si>
  <si>
    <t>Key driver 1</t>
  </si>
  <si>
    <t>Key driver 2</t>
  </si>
  <si>
    <t>Key driver 3</t>
  </si>
  <si>
    <t>Prediction result</t>
  </si>
  <si>
    <t>Limitations and diagnostics</t>
  </si>
  <si>
    <t>No material outlier or multicollinearity concern. The holdout covers only six months, and future estimates should use planned—not after-the-fact—discount and staffing inputs.</t>
  </si>
  <si>
    <t>Use the model for monthly budgeting and scenario planning within the observed input ranges. Refresh it as new months arrive and investigate material residuals.</t>
  </si>
  <si>
    <t>The coefficients describe associations after controlling for the other included predictors; they do not prove causal impact.</t>
  </si>
  <si>
    <t>Multiple linear regression</t>
  </si>
  <si>
    <t>Marketing Spend; Average Discount; Seasonality Index; Active Sales Reps</t>
  </si>
  <si>
    <t>Typical error</t>
  </si>
  <si>
    <t>First 24 months used for training; final 6 months used as a time holdout.</t>
  </si>
  <si>
    <t>Business Interpretation</t>
  </si>
  <si>
    <t>Verified estimate</t>
  </si>
  <si>
    <t>Association, not causation</t>
  </si>
  <si>
    <t>Use planned staffing levels for forecasts</t>
  </si>
  <si>
    <t>Requires a credible future seasonality assumption</t>
  </si>
  <si>
    <t>Business Meaning</t>
  </si>
  <si>
    <t>Residual size is small and does not indicate a material misspecification within the observed range.</t>
  </si>
  <si>
    <t>Largest residual is about $3,234 and maximum Cook's distance is about 0.10.</t>
  </si>
  <si>
    <t>All predictor VIF values are below 2.2, supporting stable conditional interpretation.</t>
  </si>
  <si>
    <t>Six-month time holdout error is comparable to the in-sample typical error.</t>
  </si>
  <si>
    <t>Inputs are appropriate if planned values are available before the month closes.</t>
  </si>
  <si>
    <t>Estimate</t>
  </si>
  <si>
    <t>Std. Error</t>
  </si>
  <si>
    <t>t-stat</t>
  </si>
  <si>
    <t>p-value</t>
  </si>
  <si>
    <t>95% CI Low</t>
  </si>
  <si>
    <t>95% CI High</t>
  </si>
  <si>
    <t>VIF diagnostics</t>
  </si>
  <si>
    <t>VIF</t>
  </si>
  <si>
    <t>Holdout validation</t>
  </si>
  <si>
    <t>Training period</t>
  </si>
  <si>
    <t>Jan-2023 to Dec-2024</t>
  </si>
  <si>
    <t>Jan-2025 to Jun-2025</t>
  </si>
  <si>
    <t>Holdout coefficients use LINEST on training rows only.</t>
  </si>
  <si>
    <t>Absolute Error</t>
  </si>
  <si>
    <t>How is monthly marketing spend associated with same-month sales?</t>
  </si>
  <si>
    <t>Simple linear regression with Sales as the continuous outcome and Marketing Spend as the numeric predictor. This estimates the change in sales associated with a change in spend.</t>
  </si>
  <si>
    <t>Key driver</t>
  </si>
  <si>
    <t>Prediction or scenario result</t>
  </si>
  <si>
    <t>Not applicable—the requested objective is association analysis rather than a future sales forecast.</t>
  </si>
  <si>
    <t>Use the estimate for directional budgeting only. Add seasonality or month effects and validate on additional future periods before using the coefficient for high-impact decisions.</t>
  </si>
  <si>
    <t>This is a same-period association. It does not prove that additional marketing spend caused the observed sales increase.</t>
  </si>
  <si>
    <t>Simple Linear Regression Analysis</t>
  </si>
  <si>
    <t>Model Overview</t>
  </si>
  <si>
    <t>First 18 months used for training; final 6 months checked as a time holdout.</t>
  </si>
  <si>
    <t>Top Predictor Summary</t>
  </si>
  <si>
    <t>Strong estimate, but time trend and omitted seasonality may inflate it; association, not causation.</t>
  </si>
  <si>
    <t>Diagnostics Summary</t>
  </si>
  <si>
    <t>The observed spend-sales pattern is close to a straight line over the available range.</t>
  </si>
  <si>
    <t>The largest residual is below twice the typical model error.</t>
  </si>
  <si>
    <t>Only one predictor is included, so overlapping predictors are not applicable.</t>
  </si>
  <si>
    <t>The six-month time holdout is accurate but small and does not resolve the common upward trend.</t>
  </si>
  <si>
    <t>Material concern: residuals remain strongly associated with the supplied seasonality context.</t>
  </si>
  <si>
    <t>Marketing spend is a contemporaneous input and is not calculated from sales.</t>
  </si>
  <si>
    <t>Holdout Month</t>
  </si>
  <si>
    <t>Pooled Prediction</t>
  </si>
  <si>
    <t>Standard-Model Prediction</t>
  </si>
  <si>
    <t>Does marketing spend predict revenue reliably across both standard and enterprise campaigns?</t>
  </si>
  <si>
    <t>Simple linear regression of Revenue on Marketing Spend, compared for all campaigns versus standard campaigns only. This directly tests whether the relationship is stable when the enterprise observation is included.</t>
  </si>
  <si>
    <t>24 campaigns: 23 standard campaigns and one enterprise campaign. No missing rows were excluded.</t>
  </si>
  <si>
    <t>Do not use one pooled spend-revenue equation across both campaign types. Use the standard-only model for standard campaigns within the observed spend range, and collect more enterprise campaigns before building a separate enterprise model.</t>
  </si>
  <si>
    <t>The slopes describe associations, not proof that additional marketing spend caused the revenue differences.</t>
  </si>
  <si>
    <t>Outlier Influence Regression Analysis</t>
  </si>
  <si>
    <t>Simple linear regression with influence comparison</t>
  </si>
  <si>
    <t>Pooled observations</t>
  </si>
  <si>
    <t>Pooled R-squared</t>
  </si>
  <si>
    <t>Pooled adjusted R-squared</t>
  </si>
  <si>
    <t>Pooled typical error</t>
  </si>
  <si>
    <t>Standard observations</t>
  </si>
  <si>
    <t>Standard-only R-squared</t>
  </si>
  <si>
    <t>Standard adjusted R-squared</t>
  </si>
  <si>
    <t>Standard typical error</t>
  </si>
  <si>
    <t>Influence analysis compares pooled and standard-only fits; enterprise validation is unavailable because only one enterprise campaign exists.</t>
  </si>
  <si>
    <t>Enterprise leverage</t>
  </si>
  <si>
    <t>Enterprise Cook's distance</t>
  </si>
  <si>
    <t>Slope change from inclusion</t>
  </si>
  <si>
    <t>Standard MAE using pooled model</t>
  </si>
  <si>
    <t>Standard MAE using standard model</t>
  </si>
  <si>
    <t>Marketing Spend — standard campaigns</t>
  </si>
  <si>
    <t>Reliable within standard range</t>
  </si>
  <si>
    <t>Do not extrapolate to enterprise spend levels.</t>
  </si>
  <si>
    <t>Marketing Spend — pooled campaigns</t>
  </si>
  <si>
    <t>Unreliable</t>
  </si>
  <si>
    <t>Slope changes approximately 196% when the enterprise row is included.</t>
  </si>
  <si>
    <t>Coefficient Detail</t>
  </si>
  <si>
    <t>Model</t>
  </si>
  <si>
    <t>Slope</t>
  </si>
  <si>
    <t>Typical Error</t>
  </si>
  <si>
    <t>Pooled model</t>
  </si>
  <si>
    <t>Standard-only slope</t>
  </si>
  <si>
    <t>Standard-only intercept</t>
  </si>
  <si>
    <t>One straight line does not represent both campaign regimes reliably.</t>
  </si>
  <si>
    <t>Campaign 22 has extreme leverage and Cook's distance, materially changing the fitted relationship.</t>
  </si>
  <si>
    <t>Only one predictor is included.</t>
  </si>
  <si>
    <t>Only one enterprise campaign exists, so enterprise prediction accuracy cannot be tested.</t>
  </si>
  <si>
    <t>Marketing spend is available before campaign revenue is observed.</t>
  </si>
  <si>
    <t>Enterprise Campaign Check</t>
  </si>
  <si>
    <t>Spend</t>
  </si>
  <si>
    <t>Actual Revenue</t>
  </si>
  <si>
    <t>Standard-Model Revenue</t>
  </si>
  <si>
    <t>Difference</t>
  </si>
  <si>
    <t>Model sales using paid media spend, campaign reach, and brand impressions, and assess whether the individual coefficients can be interpreted reliably.</t>
  </si>
  <si>
    <t>Multiple linear regression with Sales as the continuous outcome and the three media measures as numeric predictors. The model supports combined prediction, while VIF and sensitivity tests assess separate coefficient interpretation.</t>
  </si>
  <si>
    <t>30 regional observations; no missing or excluded rows.</t>
  </si>
  <si>
    <t>Combined prediction</t>
  </si>
  <si>
    <t>Coefficient reliability</t>
  </si>
  <si>
    <t>Individual coefficients are not reliably interpretable. All predictor correlations exceed 0.9999 and VIFs range from roughly 8,204 to 22,730, so the model cannot cleanly separate the effect of spend, reach, and impressions.</t>
  </si>
  <si>
    <t>Sensitivity evidence</t>
  </si>
  <si>
    <t>Each media variable has a positive relationship with sales when modeled alone, but paid media spend becomes negative when reach and impressions are included. This sign reversal is a multicollinearity artifact, not credible evidence that spending reduces sales.</t>
  </si>
  <si>
    <t>Use one representative exposure metric or combine the three into a single media-intensity factor before interpreting drivers. The current model may be used cautiously for predicting similar regions, but not for allocating budget among spend, reach, and impressions.</t>
  </si>
  <si>
    <t>The model describes associations across regions and does not establish causal effects for any individual media measure.</t>
  </si>
  <si>
    <t>Multicollinearity Regression Analysis</t>
  </si>
  <si>
    <t>Paid Media Spend; Campaign Reach (000s); Brand Impressions (000s)</t>
  </si>
  <si>
    <t>First 24 regions used for training; final 6 regions used as a sequential holdout.</t>
  </si>
  <si>
    <t>Negative in joint model</t>
  </si>
  <si>
    <t>Not interpretable separately</t>
  </si>
  <si>
    <t>The negative joint coefficient should not be used to infer that additional paid media reduces sales.</t>
  </si>
  <si>
    <t>Positive when modeled alone; sign reverses due to predictor overlap.</t>
  </si>
  <si>
    <t>Positive in joint model</t>
  </si>
  <si>
    <t>The coefficient cannot isolate the value of reach because impressions and spend move almost identically.</t>
  </si>
  <si>
    <t>VIF exceeds 22,000.</t>
  </si>
  <si>
    <t>The coefficient is highly uncertain after controlling for nearly duplicate media measures.</t>
  </si>
  <si>
    <t>Not statistically distinguishable from zero in the joint model.</t>
  </si>
  <si>
    <t>The combined linear model fits the observed sales pattern closely.</t>
  </si>
  <si>
    <t>Maximum residual is about $1,273, which is not material relative to sales.</t>
  </si>
  <si>
    <t>VIFs exceed 8,000 and pairwise correlations exceed 0.9999; individual effects are unstable.</t>
  </si>
  <si>
    <t>Holdout prediction is accurate, but the sequential split tests extrapolation along the same shared media trend.</t>
  </si>
  <si>
    <t>The three media measures can be available before regional sales are measured.</t>
  </si>
  <si>
    <t>Collinearity Diagnostics</t>
  </si>
  <si>
    <t>Pairwise Correlation Notes</t>
  </si>
  <si>
    <t>Corr. with Reach = 0.99994; with Impressions = 0.99991</t>
  </si>
  <si>
    <t>Campaign Reach</t>
  </si>
  <si>
    <t>Corr. with Impressions = 0.99997</t>
  </si>
  <si>
    <t>Brand Impressions</t>
  </si>
  <si>
    <t>Coefficient Sensitivity</t>
  </si>
  <si>
    <t>Model Specification</t>
  </si>
  <si>
    <t>Paid Spend Coef.</t>
  </si>
  <si>
    <t>Reach Coef.</t>
  </si>
  <si>
    <t>Impressions Coef.</t>
  </si>
  <si>
    <t>Each predictor modeled alone</t>
  </si>
  <si>
    <t>All three predictors together</t>
  </si>
  <si>
    <t>Paid Spend + Reach</t>
  </si>
  <si>
    <t>Paid Spend + Impressions</t>
  </si>
  <si>
    <t>Advanced / Higher-Risk Tests</t>
  </si>
  <si>
    <t>The final five test sheets are either still unsolved or intentionally contain material data/model risks. Their results require additional diagnostics or a different method before decision use.</t>
  </si>
  <si>
    <t>Analyzed, but higher risk: one high-leverage enterprise campaign dominates the regression and materially changes the slope. A pooled model should not be used across standard and enterprise campaigns.</t>
  </si>
  <si>
    <t>Analyzed, but higher risk: paid media spend, reach, and brand impressions are near-duplicate predictors. Overall prediction is strong, but individual coefficients are unstable and should not be interpreted separately.</t>
  </si>
  <si>
    <t>Overall caution</t>
  </si>
  <si>
    <t>These sheets are diagnostic stress tests rather than clean regression examples. Do not rely on high R-squared alone; method suitability, leakage, nonlinear shape, influential observations, and coefficient stability must be resolved first.</t>
  </si>
  <si>
    <t>Log-Model Sales</t>
  </si>
  <si>
    <t>How is marketing spend associated with sales, and can one constant straight-line coefficient represent the full investment range?</t>
  </si>
  <si>
    <t>Logarithmic regression: Sales is modeled against the natural log of Marketing Spend. This specification fits the observed diminishing-return shape substantially better than ordinary straight-line regression.</t>
  </si>
  <si>
    <t>24 market observations covering marketing spend from $5,000 to $108,500; no rows excluded.</t>
  </si>
  <si>
    <t>Key association</t>
  </si>
  <si>
    <t>Diminishing returns</t>
  </si>
  <si>
    <t>Linear-model risk</t>
  </si>
  <si>
    <t>Use the logarithmic model for directional spend scenarios within the historical range. Do not use a single constant sales-per-dollar coefficient or extrapolate beyond the observed spend range without new validation.</t>
  </si>
  <si>
    <t>The model estimates an association across markets; it does not prove that additional marketing spend caused the sales differences.</t>
  </si>
  <si>
    <t>Nonlinear Risk Regression Analysis</t>
  </si>
  <si>
    <t>Selected model</t>
  </si>
  <si>
    <t>Logarithmic regression: Sales = Intercept + Coefficient × LN(Marketing Spend)</t>
  </si>
  <si>
    <t>LN(Marketing Spend)</t>
  </si>
  <si>
    <t>First 18 markets used for training; final 6 markets used as a sequential spend-range holdout.</t>
  </si>
  <si>
    <t>Model Comparison</t>
  </si>
  <si>
    <t>Linear R-squared</t>
  </si>
  <si>
    <t>Linear typical error</t>
  </si>
  <si>
    <t>Linear holdout RMSE</t>
  </si>
  <si>
    <t>Log R-squared</t>
  </si>
  <si>
    <t>Log typical error</t>
  </si>
  <si>
    <t>Log holdout RMSE</t>
  </si>
  <si>
    <t>Positive, diminishing returns</t>
  </si>
  <si>
    <t>Marginal sales per additional dollar declines as the spend base increases.</t>
  </si>
  <si>
    <t>Material concern for raw linear model</t>
  </si>
  <si>
    <t>A straight line produces a curved residual pattern and substantially worse holdout error.</t>
  </si>
  <si>
    <t>Log coefficient</t>
  </si>
  <si>
    <t>Log intercept</t>
  </si>
  <si>
    <t>Incremental $1,000 Scenarios</t>
  </si>
  <si>
    <t>Starting Spend</t>
  </si>
  <si>
    <t>Associated Sales Increase</t>
  </si>
  <si>
    <t>Residual Diagnostics</t>
  </si>
  <si>
    <t>Log Prediction</t>
  </si>
  <si>
    <t>Holdout Market</t>
  </si>
  <si>
    <t>Analyzed: the raw straight-line model is unsuitable because the data follows diminishing returns. A logarithmic regression resolves most of the curvature and is the selected decision-support model within the observed spend range.</t>
  </si>
  <si>
    <t>Predicted Churn Probability</t>
  </si>
  <si>
    <t>Risk Band</t>
  </si>
  <si>
    <t>Low</t>
  </si>
  <si>
    <t>High</t>
  </si>
  <si>
    <t>Predict customer churn from service tickets, tenure, and monthly spend.</t>
  </si>
  <si>
    <t>Logistic regression because churn is binary (0/1); ordinary linear regression is not appropriate.</t>
  </si>
  <si>
    <t>28 customers; 10 churn events (35.7%); no excluded rows.</t>
  </si>
  <si>
    <t>Service tickets: odds multiply by 37.95 for each additional ticket, holding other variables constant.</t>
  </si>
  <si>
    <t>Tenure: odds multiply by 0.52 for each additional month, holding other variables constant.</t>
  </si>
  <si>
    <t>Monthly spend: odds multiply by 0.86 for each additional $10, holding other variables constant.</t>
  </si>
  <si>
    <t>In-sample AUC 0.983 and accuracy 92.9%; leave-one-out AUC 0.844, accuracy 85.7%, Brier score 0.103.</t>
  </si>
  <si>
    <t>Only 10 churn events for 3 predictors (3.3 events per predictor). Coefficient inference is unstable; validation is limited to leave-one-out resampling.</t>
  </si>
  <si>
    <t>Use the probabilities to prioritize review, not automated retention decisions. Collect more churn events and validate on a future customer cohort before deployment.</t>
  </si>
  <si>
    <t>Logistic Regression Technical Summary</t>
  </si>
  <si>
    <t>Multiple logistic regression</t>
  </si>
  <si>
    <t>Predictor formula order</t>
  </si>
  <si>
    <t>Service Tickets; Tenure (Months); Monthly Spend</t>
  </si>
  <si>
    <t>Churn events</t>
  </si>
  <si>
    <t>Events per predictor</t>
  </si>
  <si>
    <t>In-sample AUC</t>
  </si>
  <si>
    <t>In-sample accuracy (0.50 threshold)</t>
  </si>
  <si>
    <t>LOOCV AUC</t>
  </si>
  <si>
    <t>LOOCV accuracy (0.50 threshold)</t>
  </si>
  <si>
    <t>LOOCV sensitivity</t>
  </si>
  <si>
    <t>LOOCV specificity</t>
  </si>
  <si>
    <t>LOOCV Brier score</t>
  </si>
  <si>
    <t>Leave-one-out cross-validation; no independent future holdout available</t>
  </si>
  <si>
    <t>Odds Ratio</t>
  </si>
  <si>
    <t>Wald p-value</t>
  </si>
  <si>
    <t>Baseline log-odds; not meaningful at zero values outside practical context.</t>
  </si>
  <si>
    <t>Each additional ticket multiplies estimated churn odds by 37.95, holding other predictors constant.</t>
  </si>
  <si>
    <t>Each additional tenure month multiplies estimated churn odds by 0.52, holding other predictors constant.</t>
  </si>
  <si>
    <t>Each additional $10 multiplies estimated churn odds by 0.86, holding other predictors constant.</t>
  </si>
  <si>
    <t>Ticket volume is the strongest operational risk signal in this small sample.</t>
  </si>
  <si>
    <t>Negative</t>
  </si>
  <si>
    <t>Tenure changes estimated churn odds after controlling for tickets and spend.</t>
  </si>
  <si>
    <t>Spend changes estimated churn odds, but the small event count limits stability.</t>
  </si>
  <si>
    <t>Outcome suitability</t>
  </si>
  <si>
    <t>Logistic regression matches the binary 0/1 churn outcome.</t>
  </si>
  <si>
    <t>Sample size / events</t>
  </si>
  <si>
    <t>10 events for 3 predictors is too limited for stable deployment-grade estimates.</t>
  </si>
  <si>
    <t>Maximum absolute predictor correlation is 0.200.</t>
  </si>
  <si>
    <t>Linearity in the logit</t>
  </si>
  <si>
    <t>Not fully testable with this small dataset; continuous predictors may need nonlinear terms in a larger sample.</t>
  </si>
  <si>
    <t>Outliers / separation</t>
  </si>
  <si>
    <t>Small cells and strong predictor patterns may create unstable maximum-likelihood estimates.</t>
  </si>
  <si>
    <t>LOOCV is informative but no independent future cohort is available.</t>
  </si>
  <si>
    <t>All listed predictors can be known before the churn outcome if captured at scoring time.</t>
  </si>
  <si>
    <t>Actual Churn</t>
  </si>
  <si>
    <t>Predicted Probability</t>
  </si>
  <si>
    <t>LOOCV Probability</t>
  </si>
  <si>
    <t>Predicted Class</t>
  </si>
  <si>
    <t>Analyzed with logistic regression: probabilities were estimated, but only 10 churn events support 3 predictors. Coefficients and validation are unstable, so the model should not be used for automated decisions until tested on a larger future cohort.</t>
  </si>
  <si>
    <t>logit(P(churn)) = -5.739 + 3.636×Tickets - 0.656×Tenure - 0.0145×Monthly Spend</t>
  </si>
  <si>
    <t>Probabilities and screening risk bands are written for all customers in columns F:G; highest estimated risk is CUST-1021 at above 99%, but this extreme estimate is unstable in the small sample.</t>
  </si>
  <si>
    <t>Can the model estimate monthly sales using only information available</t>
  </si>
  <si>
    <t>Month-end sales adjustment is calculated after actual sales are known. It is intentionally leaked and must be excluded from a planning model</t>
  </si>
  <si>
    <t>Valid Planning Prediction</t>
  </si>
  <si>
    <t>Leaked Model Prediction</t>
  </si>
  <si>
    <t>Build a monthly sales planning model using only information available before month end.</t>
  </si>
  <si>
    <t>Multiple linear regression of Actual Sales on Marketing Spend and Pre-Month-End Sales Calls. Month-End Sales Adjustment is excluded because it is known after actual sales.</t>
  </si>
  <si>
    <t>24 monthly observations from Jan-2024 through Dec-2025; final 6 months reserved for time-ordered validation; no excluded rows.</t>
  </si>
  <si>
    <t>Pre-month-end sales calls: each additional call is associated with approximately $627 in monthly sales, holding marketing spend constant.</t>
  </si>
  <si>
    <t>Only 24 months of history. Marketing spend and calls correlation is 0.30. The leaked model appears stronger (holdout RMSE $265) but cannot be used for planning.</t>
  </si>
  <si>
    <t>Use only marketing spend and pre-month-end call assumptions for planning. Refresh and revalidate monthly; never include the month-end adjustment in a forward forecast.</t>
  </si>
  <si>
    <t>Monthly Sales Planning Scenario</t>
  </si>
  <si>
    <t>Planned Marketing Spend</t>
  </si>
  <si>
    <t>Planned Pre-Month-End Calls</t>
  </si>
  <si>
    <t>Estimated Monthly Sales</t>
  </si>
  <si>
    <t>Planning Range - Low</t>
  </si>
  <si>
    <t>Planning Range - High</t>
  </si>
  <si>
    <t>Important</t>
  </si>
  <si>
    <t>Inputs must be known before month end; do not use Month-End Sales Adjustment.</t>
  </si>
  <si>
    <t>Monthly Sales Planning Model - Technical Summary</t>
  </si>
  <si>
    <t>Multiple linear regression using pre-month-end predictors only</t>
  </si>
  <si>
    <t>Marketing Spend; Pre-Month-End Sales Calls</t>
  </si>
  <si>
    <t>Excluded predictor</t>
  </si>
  <si>
    <t>Month-End Sales Adjustment — confirmed data leakage</t>
  </si>
  <si>
    <t>Training / validation split</t>
  </si>
  <si>
    <t>First 18 months / final 6 months</t>
  </si>
  <si>
    <t>Typical error (residual standard error)</t>
  </si>
  <si>
    <t>Holdout MAPE</t>
  </si>
  <si>
    <t>Time-ordered holdout using Jul-2025 through Dec-2025</t>
  </si>
  <si>
    <t>Each additional $1,000 is associated with about $3187 in sales, holding calls constant.</t>
  </si>
  <si>
    <t>Each additional call is associated with about $627 in sales, holding marketing spend constant.</t>
  </si>
  <si>
    <t>Available before month end</t>
  </si>
  <si>
    <t>Residual correlation with time is 0.05; monitor for drift.</t>
  </si>
  <si>
    <t>No single month shows an extreme residual relative to the model's typical error.</t>
  </si>
  <si>
    <t>Marketing spend and calls correlation is 0.30.</t>
  </si>
  <si>
    <t>Only 6 future months are held out; RMSE is $2346 and MAPE 1.4%.</t>
  </si>
  <si>
    <t>Data leakage - selected model</t>
  </si>
  <si>
    <t>The selected model excludes the month-end adjustment.</t>
  </si>
  <si>
    <t>Data leakage - rejected model</t>
  </si>
  <si>
    <t>Including the month-end adjustment produces holdout RMSE $265 but is unavailable at planning time.</t>
  </si>
  <si>
    <t>Typical Error / Holdout RMSE</t>
  </si>
  <si>
    <t>Planning Suitability</t>
  </si>
  <si>
    <t>Selected pre-month-end model</t>
  </si>
  <si>
    <t>Usable with caution</t>
  </si>
  <si>
    <t>Leaked month-end model</t>
  </si>
  <si>
    <t>Reject for planning</t>
  </si>
  <si>
    <t>Selected Model</t>
  </si>
  <si>
    <t>Leaked Model</t>
  </si>
  <si>
    <t>Comment</t>
  </si>
  <si>
    <t>Baseline</t>
  </si>
  <si>
    <t>Pre-month-end input</t>
  </si>
  <si>
    <t>Pre-Month-End Calls</t>
  </si>
  <si>
    <t>Month-End Adjustment</t>
  </si>
  <si>
    <t>Excluded</t>
  </si>
  <si>
    <t>Leaked; reject from planning</t>
  </si>
  <si>
    <t>Selected Prediction</t>
  </si>
  <si>
    <t>Holdout Prediction</t>
  </si>
  <si>
    <t>Period Role</t>
  </si>
  <si>
    <t>Training</t>
  </si>
  <si>
    <t>Holdout</t>
  </si>
  <si>
    <t>Descriptive Sales Statistics</t>
  </si>
  <si>
    <t>Mean monthly sales</t>
  </si>
  <si>
    <t>Median monthly sales</t>
  </si>
  <si>
    <t>Minimum monthly sales</t>
  </si>
  <si>
    <t>Maximum monthly sales</t>
  </si>
  <si>
    <t>Historical range</t>
  </si>
  <si>
    <t>Selected model equation</t>
  </si>
  <si>
    <t>Sales = 47584 + 3.187×Marketing + 627×Calls</t>
  </si>
  <si>
    <t>Approx. 95% planning error band</t>
  </si>
  <si>
    <t>Leakage warning</t>
  </si>
  <si>
    <t>Do not include Month-End Sales Adjustment in forward planning</t>
  </si>
  <si>
    <t>Analyzed: the month-end sales adjustment is confirmed data leakage and is excluded. The valid planning model uses marketing spend and pre-month-end sales calls, with time-ordered holdout validation; use with caution because only 24 months of history are available.</t>
  </si>
  <si>
    <t>Excel-Native Model Audit</t>
  </si>
  <si>
    <t>Marketing Spend coefficient</t>
  </si>
  <si>
    <t>Pre-Month-End Calls coefficient</t>
  </si>
  <si>
    <t>Formula method</t>
  </si>
  <si>
    <t>INDEX(LINEST(Actual Sales, pre-month-end predictors, TRUE, TRUE))</t>
  </si>
  <si>
    <t>Marketing spend: each additional $1,000 is associated with approximately $3,187 in monthly sales, holding pre-month-end calls constant.</t>
  </si>
  <si>
    <t>Planned Sales = $47,584 + 3.187×Marketing Spend + $627×Pre-Month-End Calls</t>
  </si>
  <si>
    <t>Use the editable scenario below. A practical planning range is the point estimate ± about $4,994, based on the model's historical typical error.</t>
  </si>
  <si>
    <t>Full-sample adjusted R² 98.7%; typical error $2,548. Six-month holdout RMSE $2,346 and MAPE 1.4%.</t>
  </si>
  <si>
    <t>Solved regression feature test fixture</t>
  </si>
  <si>
    <t>Runed each prompt from Prompt_Bank against the matching worksheet.</t>
  </si>
  <si>
    <t>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</si>
</sst>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numFmt numFmtId="165" formatCode="0.0%"/>
    <numFmt numFmtId="166" formatCode="&quot;€&quot;#,##0"/>
    <numFmt numFmtId="167" formatCode="0.000"/>
    <numFmt numFmtId="168" formatCode="0.0000"/>
    <numFmt numFmtId="169" formatCode="\$#,##0;\(\$#,##0\)"/>
    <numFmt numFmtId="170" formatCode="0.0"/>
    <numFmt numFmtId="171" formatCode="&quot;€&quot;#,##0;[Red]\(&quot;€&quot;#,##0\)"/>
    <numFmt numFmtId="172" formatCode="\$#,##0;[Red]\(\$#,##0\)"/>
  </numFmts>
  <fonts count="18" x14ac:knownFonts="1">
    <font>
      <sz val="11"/>
      <color theme="1"/>
      <name val="Calibri"/>
      <family val="2"/>
      <scheme val="minor"/>
    </font>
    <font>
      <b/>
      <sz val="16"/>
      <color rgb="FFFFFFFF"/>
      <name val="Calibri"/>
    </font>
    <font>
      <b/>
      <sz val="11"/>
      <color rgb="FF1F4E78"/>
      <name val="Calibri"/>
    </font>
    <font>
      <i/>
      <sz val="10"/>
      <color rgb="FF666666"/>
      <name val="Calibri"/>
    </font>
    <font>
      <b/>
      <sz val="11"/>
      <color rgb="FFFFFFFF"/>
      <name val="Calibri"/>
    </font>
    <font>
      <b/>
      <sz val="11"/>
      <color theme="1"/>
      <name val="Calibri"/>
      <family val="2"/>
      <scheme val="minor"/>
    </font>
    <font>
      <b/>
      <sz val="12"/>
      <color rgb="FFFFFFFF"/>
      <name val="Calibri"/>
      <family val="2"/>
      <scheme val="minor"/>
    </font>
    <font>
      <b/>
      <sz val="11"/>
      <color rgb="FF9C6500"/>
      <name val="Calibri"/>
      <family val="2"/>
      <scheme val="minor"/>
    </font>
    <font>
      <b/>
      <sz val="14"/>
      <color rgb="FFFFFFFF"/>
      <name val="Calibri"/>
      <family val="2"/>
      <scheme val="minor"/>
    </font>
    <font>
      <b/>
      <sz val="11"/>
      <color rgb="FFFFFFFF"/>
      <name val="Calibri"/>
      <family val="2"/>
      <scheme val="minor"/>
    </font>
    <font>
      <b/>
      <sz val="11"/>
      <color rgb="FF9C0006"/>
      <name val="Calibri"/>
      <family val="2"/>
      <scheme val="minor"/>
    </font>
    <font>
      <b/>
      <sz val="11"/>
      <color rgb="FF006100"/>
      <name val="Calibri"/>
      <family val="2"/>
      <scheme val="minor"/>
    </font>
    <font>
      <b/>
      <sz val="12"/>
      <color rgb="FFFFFFFF"/>
      <name val="Calibri"/>
    </font>
    <font>
      <sz val="11"/>
      <color rgb="FF0070C0"/>
      <name val="Calibri"/>
      <family val="2"/>
      <scheme val="minor"/>
    </font>
    <font>
      <sz val="11"/>
      <color rgb="FF008000"/>
      <name val="Calibri"/>
      <scheme val="minor"/>
    </font>
    <font>
      <sz val="11"/>
      <color rgb="FF000000"/>
      <name val="Calibri"/>
      <scheme val="minor"/>
    </font>
    <font>
      <sz val="11"/>
      <color rgb="FF0070C0"/>
      <name val="Calibri"/>
      <scheme val="minor"/>
    </font>
    <font>
      <b/>
      <sz val="11"/>
      <color rgb="FF008000"/>
      <name val="Calibri"/>
      <scheme val="minor"/>
    </font>
  </fonts>
  <fills count="11">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D2330"/>
        <bgColor indexed="64"/>
      </patternFill>
    </fill>
    <fill>
      <patternFill patternType="solid">
        <fgColor rgb="FFE2E3E5"/>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theme="9" tint="0.59999389629810485"/>
        <bgColor indexed="64"/>
      </patternFill>
    </fill>
  </fills>
  <borders count="8">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right/>
      <top/>
      <bottom style="hair">
        <color rgb="FFD9D9D9"/>
      </bottom>
      <diagonal/>
    </border>
    <border>
      <left style="medium">
        <color rgb="FF9C6500"/>
      </left>
      <right style="medium">
        <color rgb="FF9C6500"/>
      </right>
      <top style="medium">
        <color rgb="FF9C6500"/>
      </top>
      <bottom style="medium">
        <color rgb="FF9C6500"/>
      </bottom>
      <diagonal/>
    </border>
    <border>
      <left style="thin">
        <color rgb="FFB7B7B7"/>
      </left>
      <right/>
      <top/>
      <bottom/>
      <diagonal/>
    </border>
    <border>
      <left style="medium">
        <color rgb="FF006100"/>
      </left>
      <right style="medium">
        <color rgb="FF006100"/>
      </right>
      <top style="medium">
        <color rgb="FF006100"/>
      </top>
      <bottom style="medium">
        <color rgb="FF006100"/>
      </bottom>
      <diagonal/>
    </border>
    <border>
      <left style="medium">
        <color rgb="FF9C0006"/>
      </left>
      <right style="medium">
        <color rgb="FF9C0006"/>
      </right>
      <top style="medium">
        <color rgb="FF9C0006"/>
      </top>
      <bottom style="medium">
        <color rgb="FF9C0006"/>
      </bottom>
      <diagonal/>
    </border>
  </borders>
  <cellStyleXfs count="1">
    <xf numFmtId="0" fontId="0" fillId="0" borderId="0"/>
  </cellStyleXfs>
  <cellXfs count="63">
    <xf numFmtId="0" fontId="0" fillId="0" borderId="0" xfId="0"/>
    <xf numFmtId="0" fontId="2" fillId="3" borderId="0" xfId="0" applyFont="1" applyFill="1"/>
    <xf numFmtId="0" fontId="0" fillId="0" borderId="0" xfId="0" applyAlignment="1">
      <alignment vertical="top" wrapText="1"/>
    </xf>
    <xf numFmtId="0" fontId="4" fillId="4" borderId="1" xfId="0" applyFont="1" applyFill="1" applyBorder="1" applyAlignment="1">
      <alignment horizontal="center" vertical="center" wrapText="1"/>
    </xf>
    <xf numFmtId="0" fontId="2" fillId="3" borderId="2" xfId="0" applyFont="1" applyFill="1" applyBorder="1"/>
    <xf numFmtId="17" fontId="0" fillId="0" borderId="3" xfId="0" applyNumberFormat="1" applyBorder="1"/>
    <xf numFmtId="164" fontId="0" fillId="0" borderId="3" xfId="0" applyNumberFormat="1" applyBorder="1"/>
    <xf numFmtId="0" fontId="0" fillId="0" borderId="3" xfId="0" applyBorder="1"/>
    <xf numFmtId="165" fontId="0" fillId="0" borderId="3" xfId="0" applyNumberFormat="1" applyBorder="1"/>
    <xf numFmtId="2" fontId="0" fillId="0" borderId="3" xfId="0" applyNumberFormat="1" applyBorder="1"/>
    <xf numFmtId="1" fontId="0" fillId="0" borderId="3" xfId="0" applyNumberFormat="1" applyBorder="1"/>
    <xf numFmtId="3" fontId="0" fillId="0" borderId="3" xfId="0" applyNumberFormat="1" applyBorder="1"/>
    <xf numFmtId="0" fontId="6" fillId="5" borderId="0" xfId="0" applyFont="1" applyFill="1"/>
    <xf numFmtId="0" fontId="5" fillId="6" borderId="0" xfId="0" applyFont="1" applyFill="1"/>
    <xf numFmtId="0" fontId="8" fillId="5" borderId="0" xfId="0" applyFont="1" applyFill="1"/>
    <xf numFmtId="0" fontId="9" fillId="5" borderId="0" xfId="0" applyFont="1" applyFill="1"/>
    <xf numFmtId="1" fontId="0" fillId="0" borderId="0" xfId="0" applyNumberFormat="1"/>
    <xf numFmtId="165" fontId="0" fillId="0" borderId="0" xfId="0" applyNumberFormat="1"/>
    <xf numFmtId="167" fontId="0" fillId="0" borderId="0" xfId="0" applyNumberFormat="1"/>
    <xf numFmtId="0" fontId="10" fillId="8" borderId="0" xfId="0" applyFont="1" applyFill="1"/>
    <xf numFmtId="168" fontId="0" fillId="0" borderId="0" xfId="0" applyNumberFormat="1"/>
    <xf numFmtId="2" fontId="0" fillId="0" borderId="0" xfId="0" applyNumberFormat="1"/>
    <xf numFmtId="11" fontId="0" fillId="0" borderId="0" xfId="0" applyNumberFormat="1"/>
    <xf numFmtId="17" fontId="0" fillId="0" borderId="0" xfId="0" applyNumberFormat="1"/>
    <xf numFmtId="0" fontId="0" fillId="0" borderId="0" xfId="0" applyAlignment="1">
      <alignment wrapText="1"/>
    </xf>
    <xf numFmtId="0" fontId="7" fillId="7" borderId="4" xfId="0" applyFont="1" applyFill="1" applyBorder="1" applyAlignment="1">
      <alignment wrapText="1"/>
    </xf>
    <xf numFmtId="169" fontId="0" fillId="0" borderId="0" xfId="0" applyNumberFormat="1"/>
    <xf numFmtId="0" fontId="4" fillId="5" borderId="5" xfId="0" applyFont="1" applyFill="1" applyBorder="1" applyAlignment="1">
      <alignment horizontal="center" vertical="center" wrapText="1"/>
    </xf>
    <xf numFmtId="164" fontId="0" fillId="0" borderId="0" xfId="0" applyNumberFormat="1"/>
    <xf numFmtId="0" fontId="11" fillId="9" borderId="6" xfId="0" applyFont="1" applyFill="1" applyBorder="1" applyAlignment="1">
      <alignment wrapText="1"/>
    </xf>
    <xf numFmtId="1" fontId="0" fillId="0" borderId="0" xfId="0" applyNumberFormat="1" applyAlignment="1">
      <alignment wrapText="1"/>
    </xf>
    <xf numFmtId="165" fontId="0" fillId="0" borderId="0" xfId="0" applyNumberFormat="1" applyAlignment="1">
      <alignment wrapText="1"/>
    </xf>
    <xf numFmtId="169" fontId="0" fillId="0" borderId="0" xfId="0" applyNumberFormat="1" applyAlignment="1">
      <alignment wrapText="1"/>
    </xf>
    <xf numFmtId="0" fontId="11" fillId="9" borderId="0" xfId="0" applyFont="1" applyFill="1" applyAlignment="1">
      <alignment wrapText="1"/>
    </xf>
    <xf numFmtId="0" fontId="7" fillId="7" borderId="0" xfId="0" applyFont="1" applyFill="1" applyAlignment="1">
      <alignment wrapText="1"/>
    </xf>
    <xf numFmtId="169" fontId="0" fillId="0" borderId="3" xfId="0" applyNumberFormat="1" applyBorder="1"/>
    <xf numFmtId="170" fontId="0" fillId="0" borderId="0" xfId="0" applyNumberFormat="1"/>
    <xf numFmtId="9" fontId="0" fillId="0" borderId="0" xfId="0" applyNumberFormat="1"/>
    <xf numFmtId="0" fontId="10" fillId="8" borderId="7" xfId="0" applyFont="1" applyFill="1" applyBorder="1" applyAlignment="1">
      <alignment wrapText="1"/>
    </xf>
    <xf numFmtId="0" fontId="10" fillId="8" borderId="0" xfId="0" applyFont="1" applyFill="1" applyAlignment="1">
      <alignment wrapText="1"/>
    </xf>
    <xf numFmtId="3" fontId="0" fillId="0" borderId="0" xfId="0" applyNumberFormat="1"/>
    <xf numFmtId="0" fontId="12" fillId="5" borderId="0" xfId="0" applyFont="1" applyFill="1"/>
    <xf numFmtId="0" fontId="9" fillId="5" borderId="0" xfId="0" applyFont="1" applyFill="1" applyAlignment="1">
      <alignment vertical="top" wrapText="1"/>
    </xf>
    <xf numFmtId="0" fontId="9" fillId="5" borderId="0" xfId="0" applyFont="1" applyFill="1" applyAlignment="1">
      <alignment wrapText="1"/>
    </xf>
    <xf numFmtId="0" fontId="5" fillId="6" borderId="0" xfId="0" applyFont="1" applyFill="1" applyAlignment="1">
      <alignment wrapText="1"/>
    </xf>
    <xf numFmtId="0" fontId="5" fillId="0" borderId="0" xfId="0" applyFont="1" applyAlignment="1">
      <alignment wrapText="1"/>
    </xf>
    <xf numFmtId="167" fontId="0" fillId="0" borderId="0" xfId="0" applyNumberFormat="1" applyAlignment="1">
      <alignment wrapText="1"/>
    </xf>
    <xf numFmtId="168" fontId="0" fillId="0" borderId="0" xfId="0" applyNumberFormat="1" applyAlignment="1">
      <alignment wrapText="1"/>
    </xf>
    <xf numFmtId="1" fontId="13" fillId="0" borderId="0" xfId="0" applyNumberFormat="1" applyFont="1" applyAlignment="1">
      <alignment wrapText="1"/>
    </xf>
    <xf numFmtId="166" fontId="0" fillId="0" borderId="0" xfId="0" applyNumberFormat="1" applyAlignment="1">
      <alignment wrapText="1"/>
    </xf>
    <xf numFmtId="17" fontId="0" fillId="0" borderId="0" xfId="0" applyNumberFormat="1" applyAlignment="1">
      <alignment wrapText="1"/>
    </xf>
    <xf numFmtId="171" fontId="0" fillId="0" borderId="0" xfId="0" applyNumberFormat="1" applyAlignment="1">
      <alignment wrapText="1"/>
    </xf>
    <xf numFmtId="164" fontId="14" fillId="0" borderId="3" xfId="0" applyNumberFormat="1" applyFont="1" applyBorder="1" applyAlignment="1">
      <alignment horizontal="right"/>
    </xf>
    <xf numFmtId="172" fontId="15" fillId="0" borderId="0" xfId="0" applyNumberFormat="1" applyFont="1" applyAlignment="1">
      <alignment horizontal="right"/>
    </xf>
    <xf numFmtId="164" fontId="15" fillId="0" borderId="0" xfId="0" applyNumberFormat="1" applyFont="1" applyAlignment="1">
      <alignment horizontal="right"/>
    </xf>
    <xf numFmtId="164" fontId="16" fillId="0" borderId="0" xfId="0" applyNumberFormat="1" applyFont="1" applyAlignment="1">
      <alignment horizontal="right" wrapText="1"/>
    </xf>
    <xf numFmtId="164" fontId="17" fillId="0" borderId="0" xfId="0" applyNumberFormat="1" applyFont="1" applyAlignment="1">
      <alignment horizontal="right" wrapText="1"/>
    </xf>
    <xf numFmtId="0" fontId="1" fillId="2" borderId="0" xfId="0" applyFont="1" applyFill="1" applyAlignment="1">
      <alignment vertical="center"/>
    </xf>
    <xf numFmtId="0" fontId="0" fillId="0" borderId="0" xfId="0"/>
    <xf numFmtId="0" fontId="3" fillId="0" borderId="0" xfId="0" applyFont="1" applyAlignment="1">
      <alignment vertical="top" wrapText="1"/>
    </xf>
    <xf numFmtId="0" fontId="0" fillId="0" borderId="2" xfId="0" applyBorder="1" applyAlignment="1">
      <alignment vertical="top" wrapText="1"/>
    </xf>
    <xf numFmtId="0" fontId="0" fillId="0" borderId="2" xfId="0" applyBorder="1"/>
    <xf numFmtId="0" fontId="5" fillId="10" borderId="0" xfId="0" applyFont="1" applyFill="1"/>
  </cellXfs>
  <cellStyles count="1">
    <cellStyle name="Normal" xfId="0" builtinId="0"/>
  </cellStyles>
  <dxfs count="3">
    <dxf>
      <fill>
        <patternFill patternType="solid">
          <fgColor rgb="FFF4CCCC"/>
        </patternFill>
      </fill>
    </dxf>
    <dxf>
      <fill>
        <patternFill patternType="solid">
          <fgColor rgb="FFFFF2CC"/>
        </patternFill>
      </fill>
    </dxf>
    <dxf>
      <fill>
        <patternFill patternType="solid">
          <fgColor rgb="FFC6E0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Nonlinear_Risk!$C$6</c:f>
              <c:strCache>
                <c:ptCount val="1"/>
                <c:pt idx="0">
                  <c:v>Sales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Nonlinear_Risk!$B$7:$B$30</c:f>
              <c:numCache>
                <c:formatCode>\$#,##0</c:formatCode>
                <c:ptCount val="24"/>
                <c:pt idx="0">
                  <c:v>5000</c:v>
                </c:pt>
                <c:pt idx="1">
                  <c:v>9500</c:v>
                </c:pt>
                <c:pt idx="2">
                  <c:v>14000</c:v>
                </c:pt>
                <c:pt idx="3">
                  <c:v>18500</c:v>
                </c:pt>
                <c:pt idx="4">
                  <c:v>23000</c:v>
                </c:pt>
                <c:pt idx="5">
                  <c:v>27500</c:v>
                </c:pt>
                <c:pt idx="6">
                  <c:v>32000</c:v>
                </c:pt>
                <c:pt idx="7">
                  <c:v>36500</c:v>
                </c:pt>
                <c:pt idx="8">
                  <c:v>41000</c:v>
                </c:pt>
                <c:pt idx="9">
                  <c:v>45500</c:v>
                </c:pt>
                <c:pt idx="10">
                  <c:v>50000</c:v>
                </c:pt>
                <c:pt idx="11">
                  <c:v>54500</c:v>
                </c:pt>
                <c:pt idx="12">
                  <c:v>59000</c:v>
                </c:pt>
                <c:pt idx="13">
                  <c:v>63500</c:v>
                </c:pt>
                <c:pt idx="14">
                  <c:v>68000</c:v>
                </c:pt>
                <c:pt idx="15">
                  <c:v>72500</c:v>
                </c:pt>
                <c:pt idx="16">
                  <c:v>77000</c:v>
                </c:pt>
                <c:pt idx="17">
                  <c:v>81500</c:v>
                </c:pt>
                <c:pt idx="18">
                  <c:v>86000</c:v>
                </c:pt>
                <c:pt idx="19">
                  <c:v>90500</c:v>
                </c:pt>
                <c:pt idx="20">
                  <c:v>95000</c:v>
                </c:pt>
                <c:pt idx="21">
                  <c:v>99500</c:v>
                </c:pt>
                <c:pt idx="22">
                  <c:v>104000</c:v>
                </c:pt>
                <c:pt idx="23">
                  <c:v>108500</c:v>
                </c:pt>
              </c:numCache>
            </c:numRef>
          </c:xVal>
          <c:yVal>
            <c:numRef>
              <c:f>Nonlinear_Risk!$C$7:$C$30</c:f>
              <c:numCache>
                <c:formatCode>\$#,##0</c:formatCode>
                <c:ptCount val="24"/>
                <c:pt idx="0">
                  <c:v>132777</c:v>
                </c:pt>
                <c:pt idx="1">
                  <c:v>181338</c:v>
                </c:pt>
                <c:pt idx="2">
                  <c:v>210032</c:v>
                </c:pt>
                <c:pt idx="3">
                  <c:v>247897</c:v>
                </c:pt>
                <c:pt idx="4">
                  <c:v>266306</c:v>
                </c:pt>
                <c:pt idx="5">
                  <c:v>294777</c:v>
                </c:pt>
                <c:pt idx="6">
                  <c:v>307277</c:v>
                </c:pt>
                <c:pt idx="7">
                  <c:v>335334</c:v>
                </c:pt>
                <c:pt idx="8">
                  <c:v>345934</c:v>
                </c:pt>
                <c:pt idx="9">
                  <c:v>367830</c:v>
                </c:pt>
                <c:pt idx="10">
                  <c:v>372146</c:v>
                </c:pt>
                <c:pt idx="11">
                  <c:v>388180</c:v>
                </c:pt>
                <c:pt idx="12">
                  <c:v>389706</c:v>
                </c:pt>
                <c:pt idx="13">
                  <c:v>408077</c:v>
                </c:pt>
                <c:pt idx="14">
                  <c:v>410129</c:v>
                </c:pt>
                <c:pt idx="15">
                  <c:v>424482</c:v>
                </c:pt>
                <c:pt idx="16">
                  <c:v>422141</c:v>
                </c:pt>
                <c:pt idx="17">
                  <c:v>432301</c:v>
                </c:pt>
                <c:pt idx="18">
                  <c:v>428642</c:v>
                </c:pt>
                <c:pt idx="19">
                  <c:v>442438</c:v>
                </c:pt>
                <c:pt idx="20">
                  <c:v>440453</c:v>
                </c:pt>
                <c:pt idx="21">
                  <c:v>451242</c:v>
                </c:pt>
                <c:pt idx="22">
                  <c:v>445758</c:v>
                </c:pt>
                <c:pt idx="23">
                  <c:v>453142</c:v>
                </c:pt>
              </c:numCache>
            </c:numRef>
          </c:yVal>
          <c:smooth val="0"/>
          <c:extLst>
            <c:ext xmlns:c16="http://schemas.microsoft.com/office/drawing/2014/chart" uri="{C3380CC4-5D6E-409C-BE32-E72D297353CC}">
              <c16:uniqueId val="{00000000-226C-4619-A268-306FA4A47663}"/>
            </c:ext>
          </c:extLst>
        </c:ser>
        <c:dLbls>
          <c:showLegendKey val="0"/>
          <c:showVal val="0"/>
          <c:showCatName val="0"/>
          <c:showSerName val="0"/>
          <c:showPercent val="0"/>
          <c:showBubbleSize val="0"/>
        </c:dLbls>
        <c:axId val="517206575"/>
        <c:axId val="350091711"/>
      </c:scatterChart>
      <c:valAx>
        <c:axId val="5172065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091711"/>
        <c:crosses val="autoZero"/>
        <c:crossBetween val="midCat"/>
      </c:valAx>
      <c:valAx>
        <c:axId val="35009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065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60960</xdr:colOff>
      <xdr:row>0</xdr:row>
      <xdr:rowOff>0</xdr:rowOff>
    </xdr:from>
    <xdr:to>
      <xdr:col>13</xdr:col>
      <xdr:colOff>419100</xdr:colOff>
      <xdr:row>5</xdr:row>
      <xdr:rowOff>403860</xdr:rowOff>
    </xdr:to>
    <xdr:graphicFrame macro="">
      <xdr:nvGraphicFramePr>
        <xdr:cNvPr id="2" name="Chart 1">
          <a:extLst>
            <a:ext uri="{FF2B5EF4-FFF2-40B4-BE49-F238E27FC236}">
              <a16:creationId xmlns:a16="http://schemas.microsoft.com/office/drawing/2014/main" id="{8DCD865A-85CF-5655-3460-3FB1C73C2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ressionPrompts" displayName="tblRegressionPrompts" ref="A6:C13">
  <autoFilter ref="A6:C13" xr:uid="{00000000-0009-0000-0100-000001000000}"/>
  <tableColumns count="3">
    <tableColumn id="1" xr3:uid="{00000000-0010-0000-0000-000001000000}" name="Test ID"/>
    <tableColumn id="2" xr3:uid="{00000000-0010-0000-0000-000002000000}" name="Worksheet"/>
    <tableColumn id="3" xr3:uid="{00000000-0010-0000-0000-000003000000}" name="Prom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egressionAnswers" displayName="tblRegressionAnswers" ref="A6:E13">
  <autoFilter ref="A6:E13" xr:uid="{00000000-0009-0000-0100-000002000000}"/>
  <tableColumns count="5">
    <tableColumn id="1" xr3:uid="{00000000-0010-0000-0100-000001000000}" name="Test ID"/>
    <tableColumn id="2" xr3:uid="{00000000-0010-0000-0100-000002000000}" name="Worksheet"/>
    <tableColumn id="3" xr3:uid="{00000000-0010-0000-0100-000003000000}" name="Expected method"/>
    <tableColumn id="4" xr3:uid="{00000000-0010-0000-0100-000004000000}" name="Expected interpretation or warning"/>
    <tableColumn id="5" xr3:uid="{00000000-0010-0000-0100-000005000000}" name="Expected classifi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9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95928C-3EA7-42AF-99EF-40AC18C10EF5}">
  <we:reference id="wa200010215" version="2.0.0.0" store="es-ES" storeType="OMEX"/>
  <we:alternateReferences>
    <we:reference id="WA200010215" version="2.0.0.0" store="" storeType="OMEX"/>
  </we:alternateReferences>
  <we:properties>
    <we:property name="bps.codex_control.document_id" value="&quot;e4eedbaa-e085-4404-8efb-d32d6f36070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F18"/>
  <sheetViews>
    <sheetView showGridLines="0" tabSelected="1" workbookViewId="0">
      <pane ySplit="1" topLeftCell="A2" activePane="bottomLeft" state="frozen"/>
      <selection pane="bottomLeft" activeCell="B4" sqref="B4"/>
    </sheetView>
  </sheetViews>
  <sheetFormatPr defaultRowHeight="14.4" x14ac:dyDescent="0.3"/>
  <cols>
    <col min="1" max="1" width="28.5546875" bestFit="1" customWidth="1"/>
    <col min="2" max="2" width="96.33203125" customWidth="1"/>
  </cols>
  <sheetData>
    <row r="1" spans="1:6" ht="28.05" customHeight="1" x14ac:dyDescent="0.3">
      <c r="A1" s="57" t="s">
        <v>0</v>
      </c>
      <c r="B1" s="58"/>
      <c r="C1" s="58"/>
      <c r="D1" s="58"/>
      <c r="E1" s="58"/>
      <c r="F1" s="58"/>
    </row>
    <row r="2" spans="1:6" ht="42" customHeight="1" x14ac:dyDescent="0.3">
      <c r="A2" s="1" t="s">
        <v>1</v>
      </c>
      <c r="B2" s="2" t="s">
        <v>587</v>
      </c>
    </row>
    <row r="3" spans="1:6" ht="42" customHeight="1" x14ac:dyDescent="0.3">
      <c r="A3" s="1" t="s">
        <v>2</v>
      </c>
      <c r="B3" s="2" t="s">
        <v>3</v>
      </c>
    </row>
    <row r="4" spans="1:6" ht="42" customHeight="1" x14ac:dyDescent="0.3">
      <c r="A4" s="1" t="s">
        <v>4</v>
      </c>
      <c r="B4" s="2" t="s">
        <v>588</v>
      </c>
    </row>
    <row r="5" spans="1:6" ht="42" customHeight="1" x14ac:dyDescent="0.3">
      <c r="A5" s="1" t="s">
        <v>5</v>
      </c>
      <c r="B5" s="2" t="s">
        <v>6</v>
      </c>
    </row>
    <row r="6" spans="1:6" ht="42" customHeight="1" x14ac:dyDescent="0.3">
      <c r="A6" s="1" t="s">
        <v>7</v>
      </c>
      <c r="B6" s="2" t="s">
        <v>8</v>
      </c>
    </row>
    <row r="7" spans="1:6" ht="42" customHeight="1" x14ac:dyDescent="0.3">
      <c r="A7" s="1" t="s">
        <v>9</v>
      </c>
      <c r="B7" s="2" t="s">
        <v>10</v>
      </c>
    </row>
    <row r="8" spans="1:6" ht="42" customHeight="1" x14ac:dyDescent="0.3">
      <c r="A8" s="1" t="s">
        <v>11</v>
      </c>
      <c r="B8" s="2" t="s">
        <v>12</v>
      </c>
    </row>
    <row r="9" spans="1:6" ht="42" customHeight="1" x14ac:dyDescent="0.3">
      <c r="A9" s="1" t="s">
        <v>13</v>
      </c>
      <c r="B9" s="2" t="s">
        <v>14</v>
      </c>
    </row>
    <row r="10" spans="1:6" ht="42" customHeight="1" x14ac:dyDescent="0.3">
      <c r="A10" s="1" t="s">
        <v>15</v>
      </c>
      <c r="B10" s="2" t="s">
        <v>589</v>
      </c>
    </row>
    <row r="12" spans="1:6" ht="28.8" x14ac:dyDescent="0.3">
      <c r="A12" s="41" t="s">
        <v>412</v>
      </c>
      <c r="B12" s="42" t="s">
        <v>413</v>
      </c>
    </row>
    <row r="13" spans="1:6" ht="28.8" x14ac:dyDescent="0.3">
      <c r="A13" s="62" t="s">
        <v>26</v>
      </c>
      <c r="B13" s="2" t="s">
        <v>414</v>
      </c>
    </row>
    <row r="14" spans="1:6" ht="28.8" x14ac:dyDescent="0.3">
      <c r="A14" s="62" t="s">
        <v>29</v>
      </c>
      <c r="B14" s="2" t="s">
        <v>415</v>
      </c>
    </row>
    <row r="15" spans="1:6" ht="43.2" x14ac:dyDescent="0.3">
      <c r="A15" s="62" t="s">
        <v>32</v>
      </c>
      <c r="B15" s="2" t="s">
        <v>451</v>
      </c>
    </row>
    <row r="16" spans="1:6" ht="43.2" x14ac:dyDescent="0.3">
      <c r="A16" s="62" t="s">
        <v>35</v>
      </c>
      <c r="B16" s="2" t="s">
        <v>504</v>
      </c>
    </row>
    <row r="17" spans="1:2" ht="43.2" x14ac:dyDescent="0.3">
      <c r="A17" s="62" t="s">
        <v>38</v>
      </c>
      <c r="B17" s="2" t="s">
        <v>577</v>
      </c>
    </row>
    <row r="18" spans="1:2" ht="43.2" x14ac:dyDescent="0.3">
      <c r="A18" s="62" t="s">
        <v>416</v>
      </c>
      <c r="B18" s="2" t="s">
        <v>417</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F13"/>
  <sheetViews>
    <sheetView showGridLines="0" topLeftCell="B1" workbookViewId="0">
      <pane ySplit="6" topLeftCell="A10" activePane="bottomLeft" state="frozen"/>
      <selection pane="bottomLeft" activeCell="C13" sqref="C13"/>
    </sheetView>
  </sheetViews>
  <sheetFormatPr defaultRowHeight="14.4" x14ac:dyDescent="0.3"/>
  <cols>
    <col min="1" max="1" width="13" customWidth="1"/>
    <col min="2" max="2" width="24" customWidth="1"/>
    <col min="3" max="3" width="105" customWidth="1"/>
  </cols>
  <sheetData>
    <row r="1" spans="1:6" ht="28.05" customHeight="1" x14ac:dyDescent="0.3">
      <c r="A1" s="57" t="s">
        <v>16</v>
      </c>
      <c r="B1" s="58"/>
      <c r="C1" s="58"/>
      <c r="D1" s="58"/>
      <c r="E1" s="58"/>
      <c r="F1" s="58"/>
    </row>
    <row r="2" spans="1:6" ht="30" customHeight="1" x14ac:dyDescent="0.3">
      <c r="A2" s="59" t="s">
        <v>17</v>
      </c>
      <c r="B2" s="58"/>
      <c r="C2" s="58"/>
      <c r="D2" s="58"/>
      <c r="E2" s="58"/>
      <c r="F2" s="58"/>
    </row>
    <row r="6" spans="1:6" ht="34.049999999999997" customHeight="1" x14ac:dyDescent="0.3">
      <c r="A6" s="3" t="s">
        <v>18</v>
      </c>
      <c r="B6" s="3" t="s">
        <v>19</v>
      </c>
      <c r="C6" s="3" t="s">
        <v>20</v>
      </c>
    </row>
    <row r="7" spans="1:6" ht="61.95" customHeight="1" x14ac:dyDescent="0.3">
      <c r="A7" t="s">
        <v>21</v>
      </c>
      <c r="B7" t="s">
        <v>22</v>
      </c>
      <c r="C7" s="2" t="s">
        <v>262</v>
      </c>
    </row>
    <row r="8" spans="1:6" ht="61.95" customHeight="1" x14ac:dyDescent="0.3">
      <c r="A8" t="s">
        <v>23</v>
      </c>
      <c r="B8" t="s">
        <v>24</v>
      </c>
      <c r="C8" s="2" t="s">
        <v>263</v>
      </c>
    </row>
    <row r="9" spans="1:6" ht="61.95" customHeight="1" x14ac:dyDescent="0.3">
      <c r="A9" t="s">
        <v>25</v>
      </c>
      <c r="B9" t="s">
        <v>26</v>
      </c>
      <c r="C9" s="2" t="s">
        <v>27</v>
      </c>
    </row>
    <row r="10" spans="1:6" ht="61.95" customHeight="1" x14ac:dyDescent="0.3">
      <c r="A10" t="s">
        <v>28</v>
      </c>
      <c r="B10" t="s">
        <v>29</v>
      </c>
      <c r="C10" s="2" t="s">
        <v>30</v>
      </c>
    </row>
    <row r="11" spans="1:6" ht="61.95" customHeight="1" x14ac:dyDescent="0.3">
      <c r="A11" t="s">
        <v>31</v>
      </c>
      <c r="B11" t="s">
        <v>32</v>
      </c>
      <c r="C11" s="2" t="s">
        <v>33</v>
      </c>
    </row>
    <row r="12" spans="1:6" ht="61.95" customHeight="1" x14ac:dyDescent="0.3">
      <c r="A12" t="s">
        <v>34</v>
      </c>
      <c r="B12" t="s">
        <v>35</v>
      </c>
      <c r="C12" s="2" t="s">
        <v>36</v>
      </c>
    </row>
    <row r="13" spans="1:6" ht="61.95" customHeight="1" x14ac:dyDescent="0.3">
      <c r="A13" t="s">
        <v>37</v>
      </c>
      <c r="B13" t="s">
        <v>38</v>
      </c>
      <c r="C13" s="2" t="s">
        <v>39</v>
      </c>
    </row>
  </sheetData>
  <mergeCells count="2">
    <mergeCell ref="A2:F2"/>
    <mergeCell ref="A1:F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F13"/>
  <sheetViews>
    <sheetView showGridLines="0" workbookViewId="0">
      <pane ySplit="6" topLeftCell="A7" activePane="bottomLeft" state="frozen"/>
      <selection pane="bottomLeft" activeCell="A7" sqref="A7"/>
    </sheetView>
  </sheetViews>
  <sheetFormatPr defaultRowHeight="14.4" x14ac:dyDescent="0.3"/>
  <cols>
    <col min="1" max="1" width="13" customWidth="1"/>
    <col min="2" max="2" width="24" customWidth="1"/>
    <col min="3" max="3" width="30" customWidth="1"/>
    <col min="4" max="4" width="85" customWidth="1"/>
    <col min="5" max="5" width="31" customWidth="1"/>
  </cols>
  <sheetData>
    <row r="1" spans="1:6" ht="28.05" customHeight="1" x14ac:dyDescent="0.3">
      <c r="A1" s="57" t="s">
        <v>40</v>
      </c>
      <c r="B1" s="58"/>
      <c r="C1" s="58"/>
      <c r="D1" s="58"/>
      <c r="E1" s="58"/>
      <c r="F1" s="58"/>
    </row>
    <row r="2" spans="1:6" ht="30" customHeight="1" x14ac:dyDescent="0.3">
      <c r="A2" s="59" t="s">
        <v>41</v>
      </c>
      <c r="B2" s="58"/>
      <c r="C2" s="58"/>
      <c r="D2" s="58"/>
      <c r="E2" s="58"/>
      <c r="F2" s="58"/>
    </row>
    <row r="6" spans="1:6" ht="34.049999999999997" customHeight="1" x14ac:dyDescent="0.3">
      <c r="A6" s="3" t="s">
        <v>18</v>
      </c>
      <c r="B6" s="3" t="s">
        <v>19</v>
      </c>
      <c r="C6" s="3" t="s">
        <v>42</v>
      </c>
      <c r="D6" s="3" t="s">
        <v>43</v>
      </c>
      <c r="E6" s="3" t="s">
        <v>44</v>
      </c>
    </row>
    <row r="7" spans="1:6" ht="67.95" customHeight="1" x14ac:dyDescent="0.3">
      <c r="A7" s="2" t="s">
        <v>21</v>
      </c>
      <c r="B7" s="2" t="s">
        <v>22</v>
      </c>
      <c r="C7" s="2" t="s">
        <v>45</v>
      </c>
      <c r="D7" s="2" t="s">
        <v>46</v>
      </c>
      <c r="E7" s="2" t="s">
        <v>47</v>
      </c>
    </row>
    <row r="8" spans="1:6" ht="67.95" customHeight="1" x14ac:dyDescent="0.3">
      <c r="A8" s="2" t="s">
        <v>23</v>
      </c>
      <c r="B8" s="2" t="s">
        <v>24</v>
      </c>
      <c r="C8" s="2" t="s">
        <v>48</v>
      </c>
      <c r="D8" s="2" t="s">
        <v>49</v>
      </c>
      <c r="E8" s="2" t="s">
        <v>47</v>
      </c>
    </row>
    <row r="9" spans="1:6" ht="67.95" customHeight="1" x14ac:dyDescent="0.3">
      <c r="A9" s="2" t="s">
        <v>25</v>
      </c>
      <c r="B9" s="2" t="s">
        <v>26</v>
      </c>
      <c r="C9" s="2" t="s">
        <v>50</v>
      </c>
      <c r="D9" s="2" t="s">
        <v>51</v>
      </c>
      <c r="E9" s="2" t="s">
        <v>52</v>
      </c>
    </row>
    <row r="10" spans="1:6" ht="67.95" customHeight="1" x14ac:dyDescent="0.3">
      <c r="A10" s="2" t="s">
        <v>28</v>
      </c>
      <c r="B10" s="2" t="s">
        <v>29</v>
      </c>
      <c r="C10" s="2" t="s">
        <v>53</v>
      </c>
      <c r="D10" s="2" t="s">
        <v>54</v>
      </c>
      <c r="E10" s="2" t="s">
        <v>52</v>
      </c>
    </row>
    <row r="11" spans="1:6" ht="67.95" customHeight="1" x14ac:dyDescent="0.3">
      <c r="A11" s="2" t="s">
        <v>31</v>
      </c>
      <c r="B11" s="2" t="s">
        <v>32</v>
      </c>
      <c r="C11" s="2" t="s">
        <v>55</v>
      </c>
      <c r="D11" s="2" t="s">
        <v>56</v>
      </c>
      <c r="E11" s="2" t="s">
        <v>57</v>
      </c>
    </row>
    <row r="12" spans="1:6" ht="67.95" customHeight="1" x14ac:dyDescent="0.3">
      <c r="A12" s="2" t="s">
        <v>34</v>
      </c>
      <c r="B12" s="2" t="s">
        <v>35</v>
      </c>
      <c r="C12" s="2" t="s">
        <v>58</v>
      </c>
      <c r="D12" s="2" t="s">
        <v>59</v>
      </c>
      <c r="E12" s="2" t="s">
        <v>57</v>
      </c>
    </row>
    <row r="13" spans="1:6" ht="67.95" customHeight="1" x14ac:dyDescent="0.3">
      <c r="A13" s="2" t="s">
        <v>37</v>
      </c>
      <c r="B13" s="2" t="s">
        <v>38</v>
      </c>
      <c r="C13" s="2" t="s">
        <v>60</v>
      </c>
      <c r="D13" s="2" t="s">
        <v>61</v>
      </c>
      <c r="E13" s="2" t="s">
        <v>57</v>
      </c>
    </row>
  </sheetData>
  <mergeCells count="2">
    <mergeCell ref="A2:F2"/>
    <mergeCell ref="A1:F1"/>
  </mergeCells>
  <conditionalFormatting sqref="E7:E13">
    <cfRule type="expression" dxfId="2" priority="1">
      <formula>E7="Ready for decision support"</formula>
    </cfRule>
    <cfRule type="expression" dxfId="1" priority="2">
      <formula>E7="Use with caution"</formula>
    </cfRule>
    <cfRule type="expression" dxfId="0" priority="3">
      <formula>E7="Do not rely on this model yet"</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46"/>
  <sheetViews>
    <sheetView showGridLines="0" workbookViewId="0">
      <pane ySplit="6" topLeftCell="A31" activePane="bottomLeft" state="frozen"/>
      <selection pane="bottomLeft" activeCell="B39" sqref="B39"/>
    </sheetView>
  </sheetViews>
  <sheetFormatPr defaultRowHeight="14.4" x14ac:dyDescent="0.3"/>
  <cols>
    <col min="1" max="1" width="25" customWidth="1"/>
    <col min="2" max="2" width="96.33203125" customWidth="1"/>
    <col min="3" max="3" width="18" customWidth="1"/>
    <col min="4" max="4" width="22" customWidth="1"/>
  </cols>
  <sheetData>
    <row r="1" spans="1:6" ht="21" x14ac:dyDescent="0.3">
      <c r="A1" s="57" t="s">
        <v>62</v>
      </c>
      <c r="B1" s="58"/>
      <c r="C1" s="58"/>
      <c r="D1" s="58"/>
      <c r="E1" s="58"/>
      <c r="F1" s="58"/>
    </row>
    <row r="2" spans="1:6" x14ac:dyDescent="0.3">
      <c r="A2" s="59" t="s">
        <v>63</v>
      </c>
      <c r="B2" s="58"/>
      <c r="C2" s="58"/>
      <c r="D2" s="58"/>
      <c r="E2" s="58"/>
      <c r="F2" s="58"/>
    </row>
    <row r="3" spans="1:6" x14ac:dyDescent="0.3">
      <c r="A3" s="4" t="s">
        <v>64</v>
      </c>
      <c r="B3" s="60" t="s">
        <v>65</v>
      </c>
      <c r="C3" s="61"/>
      <c r="D3" s="61"/>
    </row>
    <row r="4" spans="1:6" x14ac:dyDescent="0.3">
      <c r="A4" s="4" t="s">
        <v>66</v>
      </c>
      <c r="B4" s="60" t="s">
        <v>67</v>
      </c>
      <c r="C4" s="61"/>
      <c r="D4" s="61"/>
    </row>
    <row r="6" spans="1:6" x14ac:dyDescent="0.3">
      <c r="A6" s="3" t="s">
        <v>68</v>
      </c>
      <c r="B6" s="3" t="s">
        <v>69</v>
      </c>
      <c r="C6" s="3" t="s">
        <v>70</v>
      </c>
      <c r="D6" s="3" t="s">
        <v>71</v>
      </c>
    </row>
    <row r="7" spans="1:6" x14ac:dyDescent="0.3">
      <c r="A7" s="5">
        <v>45292</v>
      </c>
      <c r="B7" s="6">
        <v>12000</v>
      </c>
      <c r="C7" s="6">
        <v>103000</v>
      </c>
      <c r="D7" s="6">
        <v>3000</v>
      </c>
      <c r="E7" s="7"/>
      <c r="F7" s="7"/>
    </row>
    <row r="8" spans="1:6" x14ac:dyDescent="0.3">
      <c r="A8" s="5">
        <v>45323</v>
      </c>
      <c r="B8" s="6">
        <v>14650</v>
      </c>
      <c r="C8" s="6">
        <v>111198</v>
      </c>
      <c r="D8" s="6">
        <v>-2500</v>
      </c>
      <c r="E8" s="7"/>
      <c r="F8" s="7"/>
    </row>
    <row r="9" spans="1:6" x14ac:dyDescent="0.3">
      <c r="A9" s="5">
        <v>45352</v>
      </c>
      <c r="B9" s="6">
        <v>15000</v>
      </c>
      <c r="C9" s="6">
        <v>115150</v>
      </c>
      <c r="D9" s="6">
        <v>1500</v>
      </c>
      <c r="E9" s="7"/>
      <c r="F9" s="7"/>
    </row>
    <row r="10" spans="1:6" x14ac:dyDescent="0.3">
      <c r="A10" s="5">
        <v>45383</v>
      </c>
      <c r="B10" s="6">
        <v>17850</v>
      </c>
      <c r="C10" s="6">
        <v>131478</v>
      </c>
      <c r="D10" s="6">
        <v>4200</v>
      </c>
      <c r="E10" s="7"/>
      <c r="F10" s="7"/>
    </row>
    <row r="11" spans="1:6" x14ac:dyDescent="0.3">
      <c r="A11" s="5">
        <v>45413</v>
      </c>
      <c r="B11" s="6">
        <v>19000</v>
      </c>
      <c r="C11" s="6">
        <v>128750</v>
      </c>
      <c r="D11" s="6">
        <v>-1200</v>
      </c>
      <c r="E11" s="7"/>
      <c r="F11" s="7"/>
    </row>
    <row r="12" spans="1:6" x14ac:dyDescent="0.3">
      <c r="A12" s="5">
        <v>45444</v>
      </c>
      <c r="B12" s="6">
        <v>21650</v>
      </c>
      <c r="C12" s="6">
        <v>144548</v>
      </c>
      <c r="D12" s="6">
        <v>2000</v>
      </c>
      <c r="E12" s="7"/>
      <c r="F12" s="7"/>
    </row>
    <row r="13" spans="1:6" x14ac:dyDescent="0.3">
      <c r="A13" s="5">
        <v>45474</v>
      </c>
      <c r="B13" s="6">
        <v>22000</v>
      </c>
      <c r="C13" s="6">
        <v>144500</v>
      </c>
      <c r="D13" s="6">
        <v>3000</v>
      </c>
      <c r="E13" s="7"/>
      <c r="F13" s="7"/>
    </row>
    <row r="14" spans="1:6" x14ac:dyDescent="0.3">
      <c r="A14" s="5">
        <v>45505</v>
      </c>
      <c r="B14" s="6">
        <v>24850</v>
      </c>
      <c r="C14" s="6">
        <v>153528</v>
      </c>
      <c r="D14" s="6">
        <v>-2500</v>
      </c>
      <c r="E14" s="7"/>
      <c r="F14" s="7"/>
    </row>
    <row r="15" spans="1:6" x14ac:dyDescent="0.3">
      <c r="A15" s="5">
        <v>45536</v>
      </c>
      <c r="B15" s="6">
        <v>26000</v>
      </c>
      <c r="C15" s="6">
        <v>160800</v>
      </c>
      <c r="D15" s="6">
        <v>1500</v>
      </c>
      <c r="E15" s="7"/>
      <c r="F15" s="7"/>
    </row>
    <row r="16" spans="1:6" x14ac:dyDescent="0.3">
      <c r="A16" s="5">
        <v>45566</v>
      </c>
      <c r="B16" s="6">
        <v>28650</v>
      </c>
      <c r="C16" s="6">
        <v>176298</v>
      </c>
      <c r="D16" s="6">
        <v>4200</v>
      </c>
      <c r="E16" s="7"/>
      <c r="F16" s="7"/>
    </row>
    <row r="17" spans="1:6" x14ac:dyDescent="0.3">
      <c r="A17" s="5">
        <v>45597</v>
      </c>
      <c r="B17" s="6">
        <v>29000</v>
      </c>
      <c r="C17" s="6">
        <v>170250</v>
      </c>
      <c r="D17" s="6">
        <v>-1200</v>
      </c>
      <c r="E17" s="7"/>
      <c r="F17" s="7"/>
    </row>
    <row r="18" spans="1:6" x14ac:dyDescent="0.3">
      <c r="A18" s="5">
        <v>45627</v>
      </c>
      <c r="B18" s="6">
        <v>31850</v>
      </c>
      <c r="C18" s="6">
        <v>186878</v>
      </c>
      <c r="D18" s="6">
        <v>2000</v>
      </c>
      <c r="E18" s="7"/>
      <c r="F18" s="7"/>
    </row>
    <row r="19" spans="1:6" x14ac:dyDescent="0.3">
      <c r="A19" s="5">
        <v>45658</v>
      </c>
      <c r="B19" s="6">
        <v>33000</v>
      </c>
      <c r="C19" s="6">
        <v>190150</v>
      </c>
      <c r="D19" s="6">
        <v>3000</v>
      </c>
      <c r="E19" s="7"/>
      <c r="F19" s="7"/>
    </row>
    <row r="20" spans="1:6" x14ac:dyDescent="0.3">
      <c r="A20" s="5">
        <v>45689</v>
      </c>
      <c r="B20" s="6">
        <v>35650</v>
      </c>
      <c r="C20" s="6">
        <v>198348</v>
      </c>
      <c r="D20" s="6">
        <v>-2500</v>
      </c>
      <c r="E20" s="7"/>
      <c r="F20" s="7"/>
    </row>
    <row r="21" spans="1:6" x14ac:dyDescent="0.3">
      <c r="A21" s="5">
        <v>45717</v>
      </c>
      <c r="B21" s="6">
        <v>36000</v>
      </c>
      <c r="C21" s="6">
        <v>202300</v>
      </c>
      <c r="D21" s="6">
        <v>1500</v>
      </c>
      <c r="E21" s="7"/>
      <c r="F21" s="7"/>
    </row>
    <row r="22" spans="1:6" x14ac:dyDescent="0.3">
      <c r="A22" s="5">
        <v>45748</v>
      </c>
      <c r="B22" s="6">
        <v>38850</v>
      </c>
      <c r="C22" s="6">
        <v>218628</v>
      </c>
      <c r="D22" s="6">
        <v>4200</v>
      </c>
      <c r="E22" s="7"/>
      <c r="F22" s="7"/>
    </row>
    <row r="23" spans="1:6" x14ac:dyDescent="0.3">
      <c r="A23" s="5">
        <v>45778</v>
      </c>
      <c r="B23" s="6">
        <v>40000</v>
      </c>
      <c r="C23" s="6">
        <v>215900</v>
      </c>
      <c r="D23" s="6">
        <v>-1200</v>
      </c>
      <c r="E23" s="7"/>
      <c r="F23" s="7"/>
    </row>
    <row r="24" spans="1:6" x14ac:dyDescent="0.3">
      <c r="A24" s="5">
        <v>45809</v>
      </c>
      <c r="B24" s="6">
        <v>42650</v>
      </c>
      <c r="C24" s="6">
        <v>231698</v>
      </c>
      <c r="D24" s="6">
        <v>2000</v>
      </c>
      <c r="E24" s="7"/>
      <c r="F24" s="7"/>
    </row>
    <row r="25" spans="1:6" x14ac:dyDescent="0.3">
      <c r="A25" s="5">
        <v>45839</v>
      </c>
      <c r="B25" s="6">
        <v>43000</v>
      </c>
      <c r="C25" s="6">
        <v>231650</v>
      </c>
      <c r="D25" s="6">
        <v>3000</v>
      </c>
      <c r="E25" s="7"/>
      <c r="F25" s="7"/>
    </row>
    <row r="26" spans="1:6" x14ac:dyDescent="0.3">
      <c r="A26" s="5">
        <v>45870</v>
      </c>
      <c r="B26" s="6">
        <v>45850</v>
      </c>
      <c r="C26" s="6">
        <v>240678</v>
      </c>
      <c r="D26" s="6">
        <v>-2500</v>
      </c>
      <c r="E26" s="7"/>
      <c r="F26" s="7"/>
    </row>
    <row r="27" spans="1:6" x14ac:dyDescent="0.3">
      <c r="A27" s="5">
        <v>45901</v>
      </c>
      <c r="B27" s="6">
        <v>47000</v>
      </c>
      <c r="C27" s="6">
        <v>247950</v>
      </c>
      <c r="D27" s="6">
        <v>1500</v>
      </c>
      <c r="E27" s="7"/>
      <c r="F27" s="7"/>
    </row>
    <row r="28" spans="1:6" x14ac:dyDescent="0.3">
      <c r="A28" s="5">
        <v>45931</v>
      </c>
      <c r="B28" s="6">
        <v>49650</v>
      </c>
      <c r="C28" s="6">
        <v>263448</v>
      </c>
      <c r="D28" s="6">
        <v>4200</v>
      </c>
      <c r="E28" s="7"/>
      <c r="F28" s="7"/>
    </row>
    <row r="29" spans="1:6" x14ac:dyDescent="0.3">
      <c r="A29" s="5">
        <v>45962</v>
      </c>
      <c r="B29" s="6">
        <v>50000</v>
      </c>
      <c r="C29" s="6">
        <v>257400</v>
      </c>
      <c r="D29" s="6">
        <v>-1200</v>
      </c>
      <c r="E29" s="7"/>
      <c r="F29" s="7"/>
    </row>
    <row r="30" spans="1:6" x14ac:dyDescent="0.3">
      <c r="A30" s="5">
        <v>45992</v>
      </c>
      <c r="B30" s="6">
        <v>52850</v>
      </c>
      <c r="C30" s="6">
        <v>274028</v>
      </c>
      <c r="D30" s="6">
        <v>2000</v>
      </c>
      <c r="E30" s="7"/>
      <c r="F30" s="7"/>
    </row>
    <row r="33" spans="1:2" ht="15.6" x14ac:dyDescent="0.3">
      <c r="A33" s="12" t="s">
        <v>215</v>
      </c>
    </row>
    <row r="35" spans="1:2" x14ac:dyDescent="0.3">
      <c r="A35" s="13" t="s">
        <v>64</v>
      </c>
      <c r="B35" s="24" t="s">
        <v>304</v>
      </c>
    </row>
    <row r="36" spans="1:2" ht="28.8" x14ac:dyDescent="0.3">
      <c r="A36" s="13" t="s">
        <v>216</v>
      </c>
      <c r="B36" s="24" t="s">
        <v>305</v>
      </c>
    </row>
    <row r="37" spans="1:2" x14ac:dyDescent="0.3">
      <c r="A37" s="13" t="s">
        <v>217</v>
      </c>
      <c r="B37" s="24" t="s">
        <v>218</v>
      </c>
    </row>
    <row r="38" spans="1:2" ht="28.8" x14ac:dyDescent="0.3">
      <c r="A38" s="13" t="s">
        <v>306</v>
      </c>
      <c r="B38" s="24" t="str">
        <f>"Each additional $1,000 of monthly marketing spend is associated with approximately "&amp;TEXT(Simple_Linear_Reg_Analysis!$B$33*1000,"$#,##0")&amp;" higher same-month sales."</f>
        <v>Each additional $1,000 of monthly marketing spend is associated with approximately $4,164 higher same-month sales.</v>
      </c>
    </row>
    <row r="39" spans="1:2" x14ac:dyDescent="0.3">
      <c r="A39" s="13" t="s">
        <v>219</v>
      </c>
      <c r="B39" s="24" t="str">
        <f>"Estimated Sales = "&amp;TEXT(Simple_Linear_Reg_Analysis!$B$34,"$#,##0")&amp;" + "&amp;TEXT(Simple_Linear_Reg_Analysis!$B$33,"0.000")&amp;" × Marketing Spend"</f>
        <v>Estimated Sales = $52,628 + 4.164 × Marketing Spend</v>
      </c>
    </row>
    <row r="40" spans="1:2" x14ac:dyDescent="0.3">
      <c r="A40" s="13" t="s">
        <v>307</v>
      </c>
      <c r="B40" s="24" t="s">
        <v>308</v>
      </c>
    </row>
    <row r="41" spans="1:2" x14ac:dyDescent="0.3">
      <c r="A41" s="13" t="s">
        <v>220</v>
      </c>
      <c r="B41" s="24" t="str">
        <f>"The model explains "&amp;TEXT(Simple_Linear_Reg_Analysis!$B$8,"0.0%")&amp;" of observed sales variation; typical in-sample error is approximately "&amp;TEXT(Simple_Linear_Reg_Analysis!$B$10,"$#,##0")&amp;"."</f>
        <v>The model explains 99.7% of observed sales variation; typical in-sample error is approximately $2,644.</v>
      </c>
    </row>
    <row r="42" spans="1:2" x14ac:dyDescent="0.3">
      <c r="A42" s="13" t="s">
        <v>221</v>
      </c>
      <c r="B42" s="24" t="str">
        <f>"The slope p-value is "&amp;TEXT(Simple_Linear_Reg_Analysis!$E$33,"0.00E+00")&amp;"; the 95% confidence interval per $1,000 is "&amp;TEXT(Simple_Linear_Reg_Analysis!$F$33*1000,"$#,##0")&amp;" to "&amp;TEXT(Simple_Linear_Reg_Analysis!$G$33*1000,"$#,##0")&amp;"."</f>
        <v>The slope p-value is 4.10E-30; the 95% confidence interval per $1,000 is $4,072 to $4,256.</v>
      </c>
    </row>
    <row r="43" spans="1:2" ht="28.8" x14ac:dyDescent="0.3">
      <c r="A43" s="13" t="s">
        <v>271</v>
      </c>
      <c r="B43" s="24" t="str">
        <f>"Residuals remain strongly related to the provided seasonality context (correlation "&amp;TEXT(Simple_Linear_Reg_Analysis!$B$29,"0.00")&amp;"). Because spend and sales also rise over time, the relationship may partly reflect seasonality or trend."</f>
        <v>Residuals remain strongly related to the provided seasonality context (correlation 0.90). Because spend and sales also rise over time, the relationship may partly reflect seasonality or trend.</v>
      </c>
    </row>
    <row r="44" spans="1:2" ht="29.4" thickBot="1" x14ac:dyDescent="0.35">
      <c r="A44" s="13" t="s">
        <v>223</v>
      </c>
      <c r="B44" s="24" t="s">
        <v>309</v>
      </c>
    </row>
    <row r="45" spans="1:2" ht="15" thickBot="1" x14ac:dyDescent="0.35">
      <c r="A45" s="13" t="s">
        <v>224</v>
      </c>
      <c r="B45" s="25" t="s">
        <v>52</v>
      </c>
    </row>
    <row r="46" spans="1:2" ht="28.8" x14ac:dyDescent="0.3">
      <c r="A46" s="13" t="s">
        <v>225</v>
      </c>
      <c r="B46" s="24" t="s">
        <v>310</v>
      </c>
    </row>
  </sheetData>
  <autoFilter ref="A6:D30" xr:uid="{00000000-0009-0000-0000-000003000000}"/>
  <mergeCells count="4">
    <mergeCell ref="A2:F2"/>
    <mergeCell ref="B3:D3"/>
    <mergeCell ref="A1:F1"/>
    <mergeCell ref="B4:D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34378-DAC2-4080-95E8-BEFE678FAD87}">
  <sheetPr>
    <tabColor theme="6" tint="-0.249977111117893"/>
  </sheetPr>
  <dimension ref="A1:G74"/>
  <sheetViews>
    <sheetView topLeftCell="A37" workbookViewId="0">
      <selection activeCell="B75" sqref="B75"/>
    </sheetView>
  </sheetViews>
  <sheetFormatPr defaultRowHeight="14.4" x14ac:dyDescent="0.3"/>
  <cols>
    <col min="1" max="1" width="26.88671875" customWidth="1"/>
    <col min="2" max="2" width="33.33203125" customWidth="1"/>
    <col min="3" max="3" width="53.6640625" customWidth="1"/>
    <col min="4" max="5" width="19.44140625" customWidth="1"/>
    <col min="6" max="7" width="50" customWidth="1"/>
  </cols>
  <sheetData>
    <row r="1" spans="1:2" ht="18" x14ac:dyDescent="0.35">
      <c r="A1" s="14" t="s">
        <v>311</v>
      </c>
    </row>
    <row r="3" spans="1:2" x14ac:dyDescent="0.3">
      <c r="A3" s="15" t="s">
        <v>312</v>
      </c>
    </row>
    <row r="4" spans="1:2" x14ac:dyDescent="0.3">
      <c r="A4" s="13" t="s">
        <v>228</v>
      </c>
      <c r="B4" t="s">
        <v>70</v>
      </c>
    </row>
    <row r="5" spans="1:2" x14ac:dyDescent="0.3">
      <c r="A5" s="13" t="s">
        <v>229</v>
      </c>
      <c r="B5" t="s">
        <v>230</v>
      </c>
    </row>
    <row r="6" spans="1:2" x14ac:dyDescent="0.3">
      <c r="A6" s="13" t="s">
        <v>231</v>
      </c>
      <c r="B6" t="s">
        <v>69</v>
      </c>
    </row>
    <row r="7" spans="1:2" x14ac:dyDescent="0.3">
      <c r="A7" s="13" t="s">
        <v>232</v>
      </c>
      <c r="B7" s="16">
        <f>COUNT(Simple_Linear!B7:B30)</f>
        <v>24</v>
      </c>
    </row>
    <row r="8" spans="1:2" x14ac:dyDescent="0.3">
      <c r="A8" s="13" t="s">
        <v>233</v>
      </c>
      <c r="B8" s="17">
        <f>RSQ(Simple_Linear!C7:C30,Simple_Linear!B7:B30)</f>
        <v>0.99749536043434472</v>
      </c>
    </row>
    <row r="9" spans="1:2" x14ac:dyDescent="0.3">
      <c r="A9" s="13" t="s">
        <v>234</v>
      </c>
      <c r="B9" s="17">
        <f>1-(1-B8)*(B7-1)/(B7-2)</f>
        <v>0.99738151318136037</v>
      </c>
    </row>
    <row r="10" spans="1:2" x14ac:dyDescent="0.3">
      <c r="A10" s="13" t="s">
        <v>235</v>
      </c>
      <c r="B10" s="26">
        <f>STEYX(Simple_Linear!C7:C30,Simple_Linear!B7:B30)</f>
        <v>2644.252479309107</v>
      </c>
    </row>
    <row r="11" spans="1:2" x14ac:dyDescent="0.3">
      <c r="A11" s="13" t="s">
        <v>256</v>
      </c>
      <c r="B11" s="18">
        <f>CORREL(Simple_Linear!B7:B30,Simple_Linear!C7:C30)</f>
        <v>0.99874689508120362</v>
      </c>
    </row>
    <row r="12" spans="1:2" ht="28.8" x14ac:dyDescent="0.3">
      <c r="A12" s="13" t="s">
        <v>236</v>
      </c>
      <c r="B12" s="24" t="s">
        <v>313</v>
      </c>
    </row>
    <row r="13" spans="1:2" x14ac:dyDescent="0.3">
      <c r="A13" s="13" t="s">
        <v>257</v>
      </c>
      <c r="B13" s="32">
        <f>SUMPRODUCT(ABS(E69:E74))/COUNT(E69:E74)</f>
        <v>2093.1432207316393</v>
      </c>
    </row>
    <row r="14" spans="1:2" x14ac:dyDescent="0.3">
      <c r="A14" s="13" t="s">
        <v>258</v>
      </c>
      <c r="B14" s="32">
        <f>SQRT(SUMSQ(E69:E74)/COUNT(E69:E74))</f>
        <v>2565.3519437117889</v>
      </c>
    </row>
    <row r="15" spans="1:2" x14ac:dyDescent="0.3">
      <c r="A15" s="13" t="s">
        <v>224</v>
      </c>
      <c r="B15" s="34" t="s">
        <v>52</v>
      </c>
    </row>
    <row r="18" spans="1:7" x14ac:dyDescent="0.3">
      <c r="A18" s="15" t="s">
        <v>314</v>
      </c>
    </row>
    <row r="19" spans="1:7" x14ac:dyDescent="0.3">
      <c r="A19" s="13" t="s">
        <v>238</v>
      </c>
      <c r="B19" s="13" t="s">
        <v>239</v>
      </c>
      <c r="C19" s="13" t="s">
        <v>240</v>
      </c>
      <c r="D19" s="13" t="s">
        <v>241</v>
      </c>
      <c r="E19" s="13" t="s">
        <v>242</v>
      </c>
      <c r="F19" s="13" t="s">
        <v>279</v>
      </c>
      <c r="G19" s="13" t="s">
        <v>244</v>
      </c>
    </row>
    <row r="20" spans="1:7" ht="28.8" x14ac:dyDescent="0.3">
      <c r="A20">
        <v>1</v>
      </c>
      <c r="B20" t="s">
        <v>69</v>
      </c>
      <c r="C20" t="s">
        <v>245</v>
      </c>
      <c r="D20" s="18">
        <f>B33</f>
        <v>4.1640834735550563</v>
      </c>
      <c r="E20" t="s">
        <v>52</v>
      </c>
      <c r="F20" s="24" t="str">
        <f>"Each additional $1,000 is associated with approximately "&amp;TEXT(D20*1000,"$#,##0")&amp;" higher same-month sales."</f>
        <v>Each additional $1,000 is associated with approximately $4,164 higher same-month sales.</v>
      </c>
      <c r="G20" s="24" t="s">
        <v>315</v>
      </c>
    </row>
    <row r="23" spans="1:7" x14ac:dyDescent="0.3">
      <c r="A23" s="15" t="s">
        <v>316</v>
      </c>
    </row>
    <row r="24" spans="1:7" x14ac:dyDescent="0.3">
      <c r="A24" s="13" t="s">
        <v>247</v>
      </c>
      <c r="B24" s="13" t="s">
        <v>248</v>
      </c>
      <c r="C24" s="13" t="s">
        <v>284</v>
      </c>
    </row>
    <row r="25" spans="1:7" ht="28.8" x14ac:dyDescent="0.3">
      <c r="A25" t="s">
        <v>249</v>
      </c>
      <c r="B25" t="s">
        <v>250</v>
      </c>
      <c r="C25" s="24" t="s">
        <v>317</v>
      </c>
    </row>
    <row r="26" spans="1:7" x14ac:dyDescent="0.3">
      <c r="A26" t="s">
        <v>251</v>
      </c>
      <c r="B26" t="s">
        <v>250</v>
      </c>
      <c r="C26" s="24" t="s">
        <v>318</v>
      </c>
    </row>
    <row r="27" spans="1:7" ht="28.8" x14ac:dyDescent="0.3">
      <c r="A27" t="s">
        <v>29</v>
      </c>
      <c r="B27" t="s">
        <v>250</v>
      </c>
      <c r="C27" s="24" t="s">
        <v>319</v>
      </c>
    </row>
    <row r="28" spans="1:7" ht="28.8" x14ac:dyDescent="0.3">
      <c r="A28" t="s">
        <v>222</v>
      </c>
      <c r="B28" t="s">
        <v>52</v>
      </c>
      <c r="C28" s="24" t="s">
        <v>320</v>
      </c>
    </row>
    <row r="29" spans="1:7" ht="28.8" x14ac:dyDescent="0.3">
      <c r="A29" t="s">
        <v>253</v>
      </c>
      <c r="B29" s="21">
        <f>CORREL(D41:D64,E41:E64)</f>
        <v>0.90478700353083452</v>
      </c>
      <c r="C29" s="24" t="s">
        <v>321</v>
      </c>
    </row>
    <row r="30" spans="1:7" ht="28.8" x14ac:dyDescent="0.3">
      <c r="A30" t="s">
        <v>252</v>
      </c>
      <c r="B30" t="s">
        <v>250</v>
      </c>
      <c r="C30" s="24" t="s">
        <v>322</v>
      </c>
    </row>
    <row r="32" spans="1:7" x14ac:dyDescent="0.3">
      <c r="A32" s="13" t="s">
        <v>241</v>
      </c>
      <c r="B32" s="13" t="s">
        <v>290</v>
      </c>
      <c r="C32" s="13" t="s">
        <v>291</v>
      </c>
      <c r="D32" s="13" t="s">
        <v>292</v>
      </c>
      <c r="E32" s="13" t="s">
        <v>293</v>
      </c>
      <c r="F32" s="13" t="s">
        <v>294</v>
      </c>
      <c r="G32" s="13" t="s">
        <v>295</v>
      </c>
    </row>
    <row r="33" spans="1:7" x14ac:dyDescent="0.3">
      <c r="A33" t="s">
        <v>69</v>
      </c>
      <c r="B33" s="18">
        <f>SLOPE(Simple_Linear!C7:C30,Simple_Linear!B7:B30)</f>
        <v>4.1640834735550563</v>
      </c>
      <c r="C33" s="20">
        <f>STEYX(Simple_Linear!C7:C30,Simple_Linear!B7:B30)/SQRT(DEVSQ(Simple_Linear!B7:B30))</f>
        <v>4.4486195148747187E-2</v>
      </c>
      <c r="D33" s="21">
        <f>B33/C33</f>
        <v>93.603947463516093</v>
      </c>
      <c r="E33" s="22">
        <f>_xlfn.T.DIST.2T(ABS(D33),B7-2)</f>
        <v>4.0972455165578996E-30</v>
      </c>
      <c r="F33" s="18">
        <f>B33-_xlfn.T.INV.2T(0.05,B7-2)*C33</f>
        <v>4.0718247515425467</v>
      </c>
      <c r="G33" s="18">
        <f>B33+_xlfn.T.INV.2T(0.05,B7-2)*C33</f>
        <v>4.2563421955675658</v>
      </c>
    </row>
    <row r="34" spans="1:7" x14ac:dyDescent="0.3">
      <c r="A34" t="s">
        <v>255</v>
      </c>
      <c r="B34" s="26">
        <f>INTERCEPT(Simple_Linear!C7:C30,Simple_Linear!B7:B30)</f>
        <v>52627.630876988405</v>
      </c>
    </row>
    <row r="40" spans="1:7" x14ac:dyDescent="0.3">
      <c r="A40" s="13" t="s">
        <v>68</v>
      </c>
      <c r="B40" s="13" t="s">
        <v>214</v>
      </c>
      <c r="C40" s="13" t="s">
        <v>260</v>
      </c>
      <c r="D40" s="13" t="s">
        <v>261</v>
      </c>
      <c r="E40" s="13" t="s">
        <v>71</v>
      </c>
    </row>
    <row r="41" spans="1:7" x14ac:dyDescent="0.3">
      <c r="A41" s="23">
        <f>Simple_Linear!A7</f>
        <v>45292</v>
      </c>
      <c r="B41" s="26">
        <f>Simple_Linear!C7</f>
        <v>103000</v>
      </c>
      <c r="C41" s="26">
        <f>$B$34+$B$33*Simple_Linear!B7</f>
        <v>102596.63255964908</v>
      </c>
      <c r="D41" s="26">
        <f>B41-C41</f>
        <v>403.36744035092124</v>
      </c>
      <c r="E41" s="26">
        <f>Simple_Linear!D7</f>
        <v>3000</v>
      </c>
    </row>
    <row r="42" spans="1:7" x14ac:dyDescent="0.3">
      <c r="A42" s="23">
        <f>Simple_Linear!A8</f>
        <v>45323</v>
      </c>
      <c r="B42" s="26">
        <f>Simple_Linear!C8</f>
        <v>111198</v>
      </c>
      <c r="C42" s="26">
        <f>$B$34+$B$33*Simple_Linear!B8</f>
        <v>113631.45376456997</v>
      </c>
      <c r="D42" s="26">
        <f t="shared" ref="D42:D64" si="0">B42-C42</f>
        <v>-2433.4537645699747</v>
      </c>
      <c r="E42" s="26">
        <f>Simple_Linear!D8</f>
        <v>-2500</v>
      </c>
    </row>
    <row r="43" spans="1:7" x14ac:dyDescent="0.3">
      <c r="A43" s="23">
        <f>Simple_Linear!A9</f>
        <v>45352</v>
      </c>
      <c r="B43" s="26">
        <f>Simple_Linear!C9</f>
        <v>115150</v>
      </c>
      <c r="C43" s="26">
        <f>$B$34+$B$33*Simple_Linear!B9</f>
        <v>115088.88298031426</v>
      </c>
      <c r="D43" s="26">
        <f t="shared" si="0"/>
        <v>61.11701968574198</v>
      </c>
      <c r="E43" s="26">
        <f>Simple_Linear!D9</f>
        <v>1500</v>
      </c>
    </row>
    <row r="44" spans="1:7" x14ac:dyDescent="0.3">
      <c r="A44" s="23">
        <f>Simple_Linear!A10</f>
        <v>45383</v>
      </c>
      <c r="B44" s="26">
        <f>Simple_Linear!C10</f>
        <v>131478</v>
      </c>
      <c r="C44" s="26">
        <f>$B$34+$B$33*Simple_Linear!B10</f>
        <v>126956.52087994615</v>
      </c>
      <c r="D44" s="26">
        <f t="shared" si="0"/>
        <v>4521.4791200538457</v>
      </c>
      <c r="E44" s="26">
        <f>Simple_Linear!D10</f>
        <v>4200</v>
      </c>
    </row>
    <row r="45" spans="1:7" x14ac:dyDescent="0.3">
      <c r="A45" s="23">
        <f>Simple_Linear!A11</f>
        <v>45413</v>
      </c>
      <c r="B45" s="26">
        <f>Simple_Linear!C11</f>
        <v>128750</v>
      </c>
      <c r="C45" s="26">
        <f>$B$34+$B$33*Simple_Linear!B11</f>
        <v>131745.21687453447</v>
      </c>
      <c r="D45" s="26">
        <f t="shared" si="0"/>
        <v>-2995.2168745344679</v>
      </c>
      <c r="E45" s="26">
        <f>Simple_Linear!D11</f>
        <v>-1200</v>
      </c>
    </row>
    <row r="46" spans="1:7" x14ac:dyDescent="0.3">
      <c r="A46" s="23">
        <f>Simple_Linear!A12</f>
        <v>45444</v>
      </c>
      <c r="B46" s="26">
        <f>Simple_Linear!C12</f>
        <v>144548</v>
      </c>
      <c r="C46" s="26">
        <f>$B$34+$B$33*Simple_Linear!B12</f>
        <v>142780.03807945538</v>
      </c>
      <c r="D46" s="26">
        <f t="shared" si="0"/>
        <v>1767.9619205446215</v>
      </c>
      <c r="E46" s="26">
        <f>Simple_Linear!D12</f>
        <v>2000</v>
      </c>
    </row>
    <row r="47" spans="1:7" x14ac:dyDescent="0.3">
      <c r="A47" s="23">
        <f>Simple_Linear!A13</f>
        <v>45474</v>
      </c>
      <c r="B47" s="26">
        <f>Simple_Linear!C13</f>
        <v>144500</v>
      </c>
      <c r="C47" s="26">
        <f>$B$34+$B$33*Simple_Linear!B13</f>
        <v>144237.46729519963</v>
      </c>
      <c r="D47" s="26">
        <f t="shared" si="0"/>
        <v>262.53270480036736</v>
      </c>
      <c r="E47" s="26">
        <f>Simple_Linear!D13</f>
        <v>3000</v>
      </c>
    </row>
    <row r="48" spans="1:7" x14ac:dyDescent="0.3">
      <c r="A48" s="23">
        <f>Simple_Linear!A14</f>
        <v>45505</v>
      </c>
      <c r="B48" s="26">
        <f>Simple_Linear!C14</f>
        <v>153528</v>
      </c>
      <c r="C48" s="26">
        <f>$B$34+$B$33*Simple_Linear!B14</f>
        <v>156105.10519483156</v>
      </c>
      <c r="D48" s="26">
        <f t="shared" si="0"/>
        <v>-2577.105194831558</v>
      </c>
      <c r="E48" s="26">
        <f>Simple_Linear!D14</f>
        <v>-2500</v>
      </c>
    </row>
    <row r="49" spans="1:5" x14ac:dyDescent="0.3">
      <c r="A49" s="23">
        <f>Simple_Linear!A15</f>
        <v>45536</v>
      </c>
      <c r="B49" s="26">
        <f>Simple_Linear!C15</f>
        <v>160800</v>
      </c>
      <c r="C49" s="26">
        <f>$B$34+$B$33*Simple_Linear!B15</f>
        <v>160893.80118941987</v>
      </c>
      <c r="D49" s="26">
        <f t="shared" si="0"/>
        <v>-93.801189419871662</v>
      </c>
      <c r="E49" s="26">
        <f>Simple_Linear!D15</f>
        <v>1500</v>
      </c>
    </row>
    <row r="50" spans="1:5" x14ac:dyDescent="0.3">
      <c r="A50" s="23">
        <f>Simple_Linear!A16</f>
        <v>45566</v>
      </c>
      <c r="B50" s="26">
        <f>Simple_Linear!C16</f>
        <v>176298</v>
      </c>
      <c r="C50" s="26">
        <f>$B$34+$B$33*Simple_Linear!B16</f>
        <v>171928.62239434075</v>
      </c>
      <c r="D50" s="26">
        <f t="shared" si="0"/>
        <v>4369.3776056592469</v>
      </c>
      <c r="E50" s="26">
        <f>Simple_Linear!D16</f>
        <v>4200</v>
      </c>
    </row>
    <row r="51" spans="1:5" x14ac:dyDescent="0.3">
      <c r="A51" s="23">
        <f>Simple_Linear!A17</f>
        <v>45597</v>
      </c>
      <c r="B51" s="26">
        <f>Simple_Linear!C17</f>
        <v>170250</v>
      </c>
      <c r="C51" s="26">
        <f>$B$34+$B$33*Simple_Linear!B17</f>
        <v>173386.05161008504</v>
      </c>
      <c r="D51" s="26">
        <f t="shared" si="0"/>
        <v>-3136.0516100850364</v>
      </c>
      <c r="E51" s="26">
        <f>Simple_Linear!D17</f>
        <v>-1200</v>
      </c>
    </row>
    <row r="52" spans="1:5" x14ac:dyDescent="0.3">
      <c r="A52" s="23">
        <f>Simple_Linear!A18</f>
        <v>45627</v>
      </c>
      <c r="B52" s="26">
        <f>Simple_Linear!C18</f>
        <v>186878</v>
      </c>
      <c r="C52" s="26">
        <f>$B$34+$B$33*Simple_Linear!B18</f>
        <v>185253.68950971693</v>
      </c>
      <c r="D52" s="26">
        <f t="shared" si="0"/>
        <v>1624.3104902830673</v>
      </c>
      <c r="E52" s="26">
        <f>Simple_Linear!D18</f>
        <v>2000</v>
      </c>
    </row>
    <row r="53" spans="1:5" x14ac:dyDescent="0.3">
      <c r="A53" s="23">
        <f>Simple_Linear!A19</f>
        <v>45658</v>
      </c>
      <c r="B53" s="26">
        <f>Simple_Linear!C19</f>
        <v>190150</v>
      </c>
      <c r="C53" s="26">
        <f>$B$34+$B$33*Simple_Linear!B19</f>
        <v>190042.38550430528</v>
      </c>
      <c r="D53" s="26">
        <f t="shared" si="0"/>
        <v>107.61449569472461</v>
      </c>
      <c r="E53" s="26">
        <f>Simple_Linear!D19</f>
        <v>3000</v>
      </c>
    </row>
    <row r="54" spans="1:5" x14ac:dyDescent="0.3">
      <c r="A54" s="23">
        <f>Simple_Linear!A20</f>
        <v>45689</v>
      </c>
      <c r="B54" s="26">
        <f>Simple_Linear!C20</f>
        <v>198348</v>
      </c>
      <c r="C54" s="26">
        <f>$B$34+$B$33*Simple_Linear!B20</f>
        <v>201077.20670922616</v>
      </c>
      <c r="D54" s="26">
        <f t="shared" si="0"/>
        <v>-2729.2067092261568</v>
      </c>
      <c r="E54" s="26">
        <f>Simple_Linear!D20</f>
        <v>-2500</v>
      </c>
    </row>
    <row r="55" spans="1:5" x14ac:dyDescent="0.3">
      <c r="A55" s="23">
        <f>Simple_Linear!A21</f>
        <v>45717</v>
      </c>
      <c r="B55" s="26">
        <f>Simple_Linear!C21</f>
        <v>202300</v>
      </c>
      <c r="C55" s="26">
        <f>$B$34+$B$33*Simple_Linear!B21</f>
        <v>202534.63592497044</v>
      </c>
      <c r="D55" s="26">
        <f t="shared" si="0"/>
        <v>-234.6359249704401</v>
      </c>
      <c r="E55" s="26">
        <f>Simple_Linear!D21</f>
        <v>1500</v>
      </c>
    </row>
    <row r="56" spans="1:5" x14ac:dyDescent="0.3">
      <c r="A56" s="23">
        <f>Simple_Linear!A22</f>
        <v>45748</v>
      </c>
      <c r="B56" s="26">
        <f>Simple_Linear!C22</f>
        <v>218628</v>
      </c>
      <c r="C56" s="26">
        <f>$B$34+$B$33*Simple_Linear!B22</f>
        <v>214402.27382460234</v>
      </c>
      <c r="D56" s="26">
        <f t="shared" si="0"/>
        <v>4225.7261753976636</v>
      </c>
      <c r="E56" s="26">
        <f>Simple_Linear!D22</f>
        <v>4200</v>
      </c>
    </row>
    <row r="57" spans="1:5" x14ac:dyDescent="0.3">
      <c r="A57" s="23">
        <f>Simple_Linear!A23</f>
        <v>45778</v>
      </c>
      <c r="B57" s="26">
        <f>Simple_Linear!C23</f>
        <v>215900</v>
      </c>
      <c r="C57" s="26">
        <f>$B$34+$B$33*Simple_Linear!B23</f>
        <v>219190.96981919065</v>
      </c>
      <c r="D57" s="26">
        <f t="shared" si="0"/>
        <v>-3290.96981919065</v>
      </c>
      <c r="E57" s="26">
        <f>Simple_Linear!D23</f>
        <v>-1200</v>
      </c>
    </row>
    <row r="58" spans="1:5" x14ac:dyDescent="0.3">
      <c r="A58" s="23">
        <f>Simple_Linear!A24</f>
        <v>45809</v>
      </c>
      <c r="B58" s="26">
        <f>Simple_Linear!C24</f>
        <v>231698</v>
      </c>
      <c r="C58" s="26">
        <f>$B$34+$B$33*Simple_Linear!B24</f>
        <v>230225.79102411156</v>
      </c>
      <c r="D58" s="26">
        <f t="shared" si="0"/>
        <v>1472.2089758884395</v>
      </c>
      <c r="E58" s="26">
        <f>Simple_Linear!D24</f>
        <v>2000</v>
      </c>
    </row>
    <row r="59" spans="1:5" x14ac:dyDescent="0.3">
      <c r="A59" s="23">
        <f>Simple_Linear!A25</f>
        <v>45839</v>
      </c>
      <c r="B59" s="26">
        <f>Simple_Linear!C25</f>
        <v>231650</v>
      </c>
      <c r="C59" s="26">
        <f>$B$34+$B$33*Simple_Linear!B25</f>
        <v>231683.22023985581</v>
      </c>
      <c r="D59" s="26">
        <f t="shared" si="0"/>
        <v>-33.220239855814725</v>
      </c>
      <c r="E59" s="26">
        <f>Simple_Linear!D25</f>
        <v>3000</v>
      </c>
    </row>
    <row r="60" spans="1:5" x14ac:dyDescent="0.3">
      <c r="A60" s="23">
        <f>Simple_Linear!A26</f>
        <v>45870</v>
      </c>
      <c r="B60" s="26">
        <f>Simple_Linear!C26</f>
        <v>240678</v>
      </c>
      <c r="C60" s="26">
        <f>$B$34+$B$33*Simple_Linear!B26</f>
        <v>243550.85813948774</v>
      </c>
      <c r="D60" s="26">
        <f t="shared" si="0"/>
        <v>-2872.8581394877401</v>
      </c>
      <c r="E60" s="26">
        <f>Simple_Linear!D26</f>
        <v>-2500</v>
      </c>
    </row>
    <row r="61" spans="1:5" x14ac:dyDescent="0.3">
      <c r="A61" s="23">
        <f>Simple_Linear!A27</f>
        <v>45901</v>
      </c>
      <c r="B61" s="26">
        <f>Simple_Linear!C27</f>
        <v>247950</v>
      </c>
      <c r="C61" s="26">
        <f>$B$34+$B$33*Simple_Linear!B27</f>
        <v>248339.55413407605</v>
      </c>
      <c r="D61" s="26">
        <f t="shared" si="0"/>
        <v>-389.55413407605374</v>
      </c>
      <c r="E61" s="26">
        <f>Simple_Linear!D27</f>
        <v>1500</v>
      </c>
    </row>
    <row r="62" spans="1:5" x14ac:dyDescent="0.3">
      <c r="A62" s="23">
        <f>Simple_Linear!A28</f>
        <v>45931</v>
      </c>
      <c r="B62" s="26">
        <f>Simple_Linear!C28</f>
        <v>263448</v>
      </c>
      <c r="C62" s="26">
        <f>$B$34+$B$33*Simple_Linear!B28</f>
        <v>259374.37533899694</v>
      </c>
      <c r="D62" s="26">
        <f t="shared" si="0"/>
        <v>4073.6246610030648</v>
      </c>
      <c r="E62" s="26">
        <f>Simple_Linear!D28</f>
        <v>4200</v>
      </c>
    </row>
    <row r="63" spans="1:5" x14ac:dyDescent="0.3">
      <c r="A63" s="23">
        <f>Simple_Linear!A29</f>
        <v>45962</v>
      </c>
      <c r="B63" s="26">
        <f>Simple_Linear!C29</f>
        <v>257400</v>
      </c>
      <c r="C63" s="26">
        <f>$B$34+$B$33*Simple_Linear!B29</f>
        <v>260831.80455474122</v>
      </c>
      <c r="D63" s="26">
        <f t="shared" si="0"/>
        <v>-3431.8045547412185</v>
      </c>
      <c r="E63" s="26">
        <f>Simple_Linear!D29</f>
        <v>-1200</v>
      </c>
    </row>
    <row r="64" spans="1:5" x14ac:dyDescent="0.3">
      <c r="A64" s="23">
        <f>Simple_Linear!A30</f>
        <v>45992</v>
      </c>
      <c r="B64" s="26">
        <f>Simple_Linear!C30</f>
        <v>274028</v>
      </c>
      <c r="C64" s="26">
        <f>$B$34+$B$33*Simple_Linear!B30</f>
        <v>272699.44245437311</v>
      </c>
      <c r="D64" s="26">
        <f t="shared" si="0"/>
        <v>1328.5575456268853</v>
      </c>
      <c r="E64" s="26">
        <f>Simple_Linear!D30</f>
        <v>2000</v>
      </c>
    </row>
    <row r="68" spans="1:5" x14ac:dyDescent="0.3">
      <c r="A68" s="13" t="s">
        <v>323</v>
      </c>
      <c r="B68" s="13" t="s">
        <v>214</v>
      </c>
      <c r="C68" s="13" t="s">
        <v>260</v>
      </c>
      <c r="D68" s="13" t="s">
        <v>261</v>
      </c>
      <c r="E68" s="13" t="s">
        <v>303</v>
      </c>
    </row>
    <row r="69" spans="1:5" x14ac:dyDescent="0.3">
      <c r="A69" s="23">
        <f>Simple_Linear!A25</f>
        <v>45839</v>
      </c>
      <c r="B69" s="26">
        <f>Simple_Linear!C25</f>
        <v>231650</v>
      </c>
      <c r="C69" s="26">
        <f>INTERCEPT(Simple_Linear!$C$7:$C$24,Simple_Linear!$B$7:$B$24)+SLOPE(Simple_Linear!$C$7:$C$24,Simple_Linear!$B$7:$B$24)*Simple_Linear!B25</f>
        <v>231910.69963329757</v>
      </c>
      <c r="D69" s="26">
        <f>B69-C69</f>
        <v>-260.69963329756865</v>
      </c>
      <c r="E69" s="26">
        <f>ABS(D69)</f>
        <v>260.69963329756865</v>
      </c>
    </row>
    <row r="70" spans="1:5" x14ac:dyDescent="0.3">
      <c r="A70" s="23">
        <f>Simple_Linear!A26</f>
        <v>45870</v>
      </c>
      <c r="B70" s="26">
        <f>Simple_Linear!C26</f>
        <v>240678</v>
      </c>
      <c r="C70" s="26">
        <f>INTERCEPT(Simple_Linear!$C$7:$C$24,Simple_Linear!$B$7:$B$24)+SLOPE(Simple_Linear!$C$7:$C$24,Simple_Linear!$B$7:$B$24)*Simple_Linear!B26</f>
        <v>243805.99730699012</v>
      </c>
      <c r="D70" s="26">
        <f t="shared" ref="D70:D74" si="1">B70-C70</f>
        <v>-3127.9973069901171</v>
      </c>
      <c r="E70" s="26">
        <f t="shared" ref="E70:E74" si="2">ABS(D70)</f>
        <v>3127.9973069901171</v>
      </c>
    </row>
    <row r="71" spans="1:5" x14ac:dyDescent="0.3">
      <c r="A71" s="23">
        <f>Simple_Linear!A27</f>
        <v>45901</v>
      </c>
      <c r="B71" s="26">
        <f>Simple_Linear!C27</f>
        <v>247950</v>
      </c>
      <c r="C71" s="26">
        <f>INTERCEPT(Simple_Linear!$C$7:$C$24,Simple_Linear!$B$7:$B$24)+SLOPE(Simple_Linear!$C$7:$C$24,Simple_Linear!$B$7:$B$24)*Simple_Linear!B27</f>
        <v>248605.85426304149</v>
      </c>
      <c r="D71" s="26">
        <f t="shared" si="1"/>
        <v>-655.85426304148859</v>
      </c>
      <c r="E71" s="26">
        <f t="shared" si="2"/>
        <v>655.85426304148859</v>
      </c>
    </row>
    <row r="72" spans="1:5" x14ac:dyDescent="0.3">
      <c r="A72" s="23">
        <f>Simple_Linear!A28</f>
        <v>45931</v>
      </c>
      <c r="B72" s="26">
        <f>Simple_Linear!C28</f>
        <v>263448</v>
      </c>
      <c r="C72" s="26">
        <f>INTERCEPT(Simple_Linear!$C$7:$C$24,Simple_Linear!$B$7:$B$24)+SLOPE(Simple_Linear!$C$7:$C$24,Simple_Linear!$B$7:$B$24)*Simple_Linear!B28</f>
        <v>259666.39420524682</v>
      </c>
      <c r="D72" s="26">
        <f t="shared" si="1"/>
        <v>3781.6057947531808</v>
      </c>
      <c r="E72" s="26">
        <f t="shared" si="2"/>
        <v>3781.6057947531808</v>
      </c>
    </row>
    <row r="73" spans="1:5" x14ac:dyDescent="0.3">
      <c r="A73" s="23">
        <f>Simple_Linear!A29</f>
        <v>45962</v>
      </c>
      <c r="B73" s="26">
        <f>Simple_Linear!C29</f>
        <v>257400</v>
      </c>
      <c r="C73" s="26">
        <f>INTERCEPT(Simple_Linear!$C$7:$C$24,Simple_Linear!$B$7:$B$24)+SLOPE(Simple_Linear!$C$7:$C$24,Simple_Linear!$B$7:$B$24)*Simple_Linear!B29</f>
        <v>261127.22023534944</v>
      </c>
      <c r="D73" s="26">
        <f t="shared" si="1"/>
        <v>-3727.2202353494358</v>
      </c>
      <c r="E73" s="26">
        <f t="shared" si="2"/>
        <v>3727.2202353494358</v>
      </c>
    </row>
    <row r="74" spans="1:5" x14ac:dyDescent="0.3">
      <c r="A74" s="23">
        <f>Simple_Linear!A30</f>
        <v>45992</v>
      </c>
      <c r="B74" s="26">
        <f>Simple_Linear!C30</f>
        <v>274028</v>
      </c>
      <c r="C74" s="26">
        <f>INTERCEPT(Simple_Linear!$C$7:$C$24,Simple_Linear!$B$7:$B$24)+SLOPE(Simple_Linear!$C$7:$C$24,Simple_Linear!$B$7:$B$24)*Simple_Linear!B30</f>
        <v>273022.51790904196</v>
      </c>
      <c r="D74" s="26">
        <f t="shared" si="1"/>
        <v>1005.4820909580449</v>
      </c>
      <c r="E74" s="26">
        <f t="shared" si="2"/>
        <v>1005.4820909580449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I53"/>
  <sheetViews>
    <sheetView showGridLines="0" workbookViewId="0">
      <pane ySplit="6" topLeftCell="A34" activePane="bottomLeft" state="frozen"/>
      <selection pane="bottomLeft" activeCell="A48" sqref="A48"/>
    </sheetView>
  </sheetViews>
  <sheetFormatPr defaultRowHeight="14.4" x14ac:dyDescent="0.3"/>
  <cols>
    <col min="1" max="1" width="24.109375" customWidth="1"/>
    <col min="2" max="2" width="96.33203125" customWidth="1"/>
    <col min="3" max="4" width="20.21875" bestFit="1" customWidth="1"/>
    <col min="5" max="5" width="19.88671875" bestFit="1" customWidth="1"/>
    <col min="6" max="6" width="9.6640625" bestFit="1" customWidth="1"/>
    <col min="8" max="9" width="19.44140625" customWidth="1"/>
  </cols>
  <sheetData>
    <row r="1" spans="1:9" ht="21" x14ac:dyDescent="0.3">
      <c r="A1" s="57" t="s">
        <v>72</v>
      </c>
      <c r="B1" s="58"/>
      <c r="C1" s="58"/>
      <c r="D1" s="58"/>
      <c r="E1" s="58"/>
      <c r="F1" s="58"/>
    </row>
    <row r="2" spans="1:9" x14ac:dyDescent="0.3">
      <c r="A2" s="59" t="s">
        <v>63</v>
      </c>
      <c r="B2" s="58"/>
      <c r="C2" s="58"/>
      <c r="D2" s="58"/>
      <c r="E2" s="58"/>
      <c r="F2" s="58"/>
    </row>
    <row r="3" spans="1:9" x14ac:dyDescent="0.3">
      <c r="A3" s="4" t="s">
        <v>64</v>
      </c>
      <c r="B3" s="60" t="s">
        <v>73</v>
      </c>
      <c r="C3" s="61"/>
      <c r="D3" s="61"/>
      <c r="E3" s="61"/>
      <c r="F3" s="61"/>
    </row>
    <row r="4" spans="1:9" x14ac:dyDescent="0.3">
      <c r="A4" s="4" t="s">
        <v>66</v>
      </c>
      <c r="B4" s="60" t="s">
        <v>74</v>
      </c>
      <c r="C4" s="61"/>
      <c r="D4" s="61"/>
      <c r="E4" s="61"/>
      <c r="F4" s="61"/>
    </row>
    <row r="6" spans="1:9" ht="28.8" x14ac:dyDescent="0.3">
      <c r="A6" s="3" t="s">
        <v>68</v>
      </c>
      <c r="B6" s="3" t="s">
        <v>69</v>
      </c>
      <c r="C6" s="3" t="s">
        <v>75</v>
      </c>
      <c r="D6" s="3" t="s">
        <v>76</v>
      </c>
      <c r="E6" s="3" t="s">
        <v>77</v>
      </c>
      <c r="F6" s="3" t="s">
        <v>70</v>
      </c>
      <c r="H6" s="27" t="s">
        <v>260</v>
      </c>
      <c r="I6" s="27" t="s">
        <v>261</v>
      </c>
    </row>
    <row r="7" spans="1:9" x14ac:dyDescent="0.3">
      <c r="A7" s="5">
        <v>44927</v>
      </c>
      <c r="B7" s="6">
        <v>18000</v>
      </c>
      <c r="C7" s="8">
        <v>0.04</v>
      </c>
      <c r="D7" s="9">
        <v>0.91</v>
      </c>
      <c r="E7" s="10">
        <v>8</v>
      </c>
      <c r="F7" s="6">
        <v>148490</v>
      </c>
      <c r="H7" s="26">
        <f>Regression_Model_Summary!$B$35+Regression_Model_Summary!$B$31*B7+Regression_Model_Summary!$B$32*C7+Regression_Model_Summary!$B$33*D7+Regression_Model_Summary!$B$34*E7</f>
        <v>150549.45092173084</v>
      </c>
      <c r="I7" s="26">
        <f>F7-H7</f>
        <v>-2059.4509217308369</v>
      </c>
    </row>
    <row r="8" spans="1:9" x14ac:dyDescent="0.3">
      <c r="A8" s="5">
        <v>44958</v>
      </c>
      <c r="B8" s="6">
        <v>21400</v>
      </c>
      <c r="C8" s="8">
        <v>4.8000000000000001E-2</v>
      </c>
      <c r="D8" s="9">
        <v>0.95</v>
      </c>
      <c r="E8" s="10">
        <v>9</v>
      </c>
      <c r="F8" s="6">
        <v>169400</v>
      </c>
      <c r="H8" s="26">
        <f>Regression_Model_Summary!$B$35+Regression_Model_Summary!$B$31*B8+Regression_Model_Summary!$B$32*C8+Regression_Model_Summary!$B$33*D8+Regression_Model_Summary!$B$34*E8</f>
        <v>166718.51797677123</v>
      </c>
      <c r="I8" s="26">
        <f t="shared" ref="I8:I36" si="0">F8-H8</f>
        <v>2681.4820232287748</v>
      </c>
    </row>
    <row r="9" spans="1:9" x14ac:dyDescent="0.3">
      <c r="A9" s="5">
        <v>44986</v>
      </c>
      <c r="B9" s="6">
        <v>24800</v>
      </c>
      <c r="C9" s="8">
        <v>5.6000000000000001E-2</v>
      </c>
      <c r="D9" s="9">
        <v>1.02</v>
      </c>
      <c r="E9" s="10">
        <v>10</v>
      </c>
      <c r="F9" s="6">
        <v>182780</v>
      </c>
      <c r="H9" s="26">
        <f>Regression_Model_Summary!$B$35+Regression_Model_Summary!$B$31*B9+Regression_Model_Summary!$B$32*C9+Regression_Model_Summary!$B$33*D9+Regression_Model_Summary!$B$34*E9</f>
        <v>183986.03129711159</v>
      </c>
      <c r="I9" s="26">
        <f t="shared" si="0"/>
        <v>-1206.0312971115927</v>
      </c>
    </row>
    <row r="10" spans="1:9" x14ac:dyDescent="0.3">
      <c r="A10" s="5">
        <v>45017</v>
      </c>
      <c r="B10" s="6">
        <v>28200</v>
      </c>
      <c r="C10" s="8">
        <v>6.4000000000000001E-2</v>
      </c>
      <c r="D10" s="9">
        <v>1.08</v>
      </c>
      <c r="E10" s="10">
        <v>11</v>
      </c>
      <c r="F10" s="6">
        <v>202570</v>
      </c>
      <c r="H10" s="26">
        <f>Regression_Model_Summary!$B$35+Regression_Model_Summary!$B$31*B10+Regression_Model_Summary!$B$32*C10+Regression_Model_Summary!$B$33*D10+Regression_Model_Summary!$B$34*E10</f>
        <v>200887.39586235202</v>
      </c>
      <c r="I10" s="26">
        <f t="shared" si="0"/>
        <v>1682.6041376479843</v>
      </c>
    </row>
    <row r="11" spans="1:9" x14ac:dyDescent="0.3">
      <c r="A11" s="5">
        <v>45047</v>
      </c>
      <c r="B11" s="6">
        <v>31600</v>
      </c>
      <c r="C11" s="8">
        <v>7.2000000000000008E-2</v>
      </c>
      <c r="D11" s="9">
        <v>1.1299999999999999</v>
      </c>
      <c r="E11" s="10">
        <v>12</v>
      </c>
      <c r="F11" s="6">
        <v>214970</v>
      </c>
      <c r="H11" s="26">
        <f>Regression_Model_Summary!$B$35+Regression_Model_Summary!$B$31*B11+Regression_Model_Summary!$B$32*C11+Regression_Model_Summary!$B$33*D11+Regression_Model_Summary!$B$34*E11</f>
        <v>217422.61167249241</v>
      </c>
      <c r="I11" s="26">
        <f t="shared" si="0"/>
        <v>-2452.6116724924068</v>
      </c>
    </row>
    <row r="12" spans="1:9" x14ac:dyDescent="0.3">
      <c r="A12" s="5">
        <v>45078</v>
      </c>
      <c r="B12" s="6">
        <v>35000</v>
      </c>
      <c r="C12" s="8">
        <v>0.08</v>
      </c>
      <c r="D12" s="9">
        <v>1.17</v>
      </c>
      <c r="E12" s="10">
        <v>8</v>
      </c>
      <c r="F12" s="6">
        <v>206780</v>
      </c>
      <c r="H12" s="26">
        <f>Regression_Model_Summary!$B$35+Regression_Model_Summary!$B$31*B12+Regression_Model_Summary!$B$32*C12+Regression_Model_Summary!$B$33*D12+Regression_Model_Summary!$B$34*E12</f>
        <v>209255.99338086686</v>
      </c>
      <c r="I12" s="26">
        <f t="shared" si="0"/>
        <v>-2475.9933808668575</v>
      </c>
    </row>
    <row r="13" spans="1:9" x14ac:dyDescent="0.3">
      <c r="A13" s="5">
        <v>45108</v>
      </c>
      <c r="B13" s="6">
        <v>38400</v>
      </c>
      <c r="C13" s="8">
        <v>0.04</v>
      </c>
      <c r="D13" s="9">
        <v>1.1200000000000001</v>
      </c>
      <c r="E13" s="10">
        <v>9</v>
      </c>
      <c r="F13" s="6">
        <v>232520</v>
      </c>
      <c r="H13" s="26">
        <f>Regression_Model_Summary!$B$35+Regression_Model_Summary!$B$31*B13+Regression_Model_Summary!$B$32*C13+Regression_Model_Summary!$B$33*D13+Regression_Model_Summary!$B$34*E13</f>
        <v>230783.06466074468</v>
      </c>
      <c r="I13" s="26">
        <f t="shared" si="0"/>
        <v>1736.9353392553166</v>
      </c>
    </row>
    <row r="14" spans="1:9" x14ac:dyDescent="0.3">
      <c r="A14" s="5">
        <v>45139</v>
      </c>
      <c r="B14" s="6">
        <v>41800</v>
      </c>
      <c r="C14" s="8">
        <v>4.8000000000000001E-2</v>
      </c>
      <c r="D14" s="9">
        <v>1.05</v>
      </c>
      <c r="E14" s="10">
        <v>10</v>
      </c>
      <c r="F14" s="6">
        <v>241840</v>
      </c>
      <c r="H14" s="26">
        <f>Regression_Model_Summary!$B$35+Regression_Model_Summary!$B$31*B14+Regression_Model_Summary!$B$32*C14+Regression_Model_Summary!$B$33*D14+Regression_Model_Summary!$B$34*E14</f>
        <v>242924.49540968522</v>
      </c>
      <c r="I14" s="26">
        <f t="shared" si="0"/>
        <v>-1084.4954096852161</v>
      </c>
    </row>
    <row r="15" spans="1:9" x14ac:dyDescent="0.3">
      <c r="A15" s="5">
        <v>45170</v>
      </c>
      <c r="B15" s="6">
        <v>45200</v>
      </c>
      <c r="C15" s="8">
        <v>5.6000000000000001E-2</v>
      </c>
      <c r="D15" s="9">
        <v>0.98</v>
      </c>
      <c r="E15" s="10">
        <v>11</v>
      </c>
      <c r="F15" s="6">
        <v>257860</v>
      </c>
      <c r="H15" s="26">
        <f>Regression_Model_Summary!$B$35+Regression_Model_Summary!$B$31*B15+Regression_Model_Summary!$B$32*C15+Regression_Model_Summary!$B$33*D15+Regression_Model_Summary!$B$34*E15</f>
        <v>255065.92615862578</v>
      </c>
      <c r="I15" s="26">
        <f t="shared" si="0"/>
        <v>2794.073841374222</v>
      </c>
    </row>
    <row r="16" spans="1:9" x14ac:dyDescent="0.3">
      <c r="A16" s="5">
        <v>45200</v>
      </c>
      <c r="B16" s="6">
        <v>48600</v>
      </c>
      <c r="C16" s="8">
        <v>6.4000000000000001E-2</v>
      </c>
      <c r="D16" s="9">
        <v>0.94</v>
      </c>
      <c r="E16" s="10">
        <v>12</v>
      </c>
      <c r="F16" s="6">
        <v>267650</v>
      </c>
      <c r="H16" s="26">
        <f>Regression_Model_Summary!$B$35+Regression_Model_Summary!$B$31*B16+Regression_Model_Summary!$B$32*C16+Regression_Model_Summary!$B$33*D16+Regression_Model_Summary!$B$34*E16</f>
        <v>268305.80317286629</v>
      </c>
      <c r="I16" s="26">
        <f t="shared" si="0"/>
        <v>-655.80317286628997</v>
      </c>
    </row>
    <row r="17" spans="1:9" x14ac:dyDescent="0.3">
      <c r="A17" s="5">
        <v>45231</v>
      </c>
      <c r="B17" s="6">
        <v>19100</v>
      </c>
      <c r="C17" s="8">
        <v>7.2000000000000008E-2</v>
      </c>
      <c r="D17" s="9">
        <v>0.97</v>
      </c>
      <c r="E17" s="10">
        <v>8</v>
      </c>
      <c r="F17" s="6">
        <v>148955</v>
      </c>
      <c r="H17" s="26">
        <f>Regression_Model_Summary!$B$35+Regression_Model_Summary!$B$31*B17+Regression_Model_Summary!$B$32*C17+Regression_Model_Summary!$B$33*D17+Regression_Model_Summary!$B$34*E17</f>
        <v>150626.71712938038</v>
      </c>
      <c r="I17" s="26">
        <f t="shared" si="0"/>
        <v>-1671.717129380384</v>
      </c>
    </row>
    <row r="18" spans="1:9" x14ac:dyDescent="0.3">
      <c r="A18" s="5">
        <v>45261</v>
      </c>
      <c r="B18" s="6">
        <v>22500</v>
      </c>
      <c r="C18" s="8">
        <v>0.08</v>
      </c>
      <c r="D18" s="9">
        <v>1.1000000000000001</v>
      </c>
      <c r="E18" s="10">
        <v>9</v>
      </c>
      <c r="F18" s="6">
        <v>172475</v>
      </c>
      <c r="H18" s="26">
        <f>Regression_Model_Summary!$B$35+Regression_Model_Summary!$B$31*B18+Regression_Model_Summary!$B$32*C18+Regression_Model_Summary!$B$33*D18+Regression_Model_Summary!$B$34*E18</f>
        <v>170091.12298032068</v>
      </c>
      <c r="I18" s="26">
        <f t="shared" si="0"/>
        <v>2383.8770196793193</v>
      </c>
    </row>
    <row r="19" spans="1:9" x14ac:dyDescent="0.3">
      <c r="A19" s="5">
        <v>45292</v>
      </c>
      <c r="B19" s="6">
        <v>25900</v>
      </c>
      <c r="C19" s="8">
        <v>0.04</v>
      </c>
      <c r="D19" s="9">
        <v>0.91</v>
      </c>
      <c r="E19" s="10">
        <v>10</v>
      </c>
      <c r="F19" s="6">
        <v>185755</v>
      </c>
      <c r="H19" s="26">
        <f>Regression_Model_Summary!$B$35+Regression_Model_Summary!$B$31*B19+Regression_Model_Summary!$B$32*C19+Regression_Model_Summary!$B$33*D19+Regression_Model_Summary!$B$34*E19</f>
        <v>186492.11168879864</v>
      </c>
      <c r="I19" s="26">
        <f t="shared" si="0"/>
        <v>-737.11168879864272</v>
      </c>
    </row>
    <row r="20" spans="1:9" x14ac:dyDescent="0.3">
      <c r="A20" s="5">
        <v>45323</v>
      </c>
      <c r="B20" s="6">
        <v>29300</v>
      </c>
      <c r="C20" s="8">
        <v>4.8000000000000001E-2</v>
      </c>
      <c r="D20" s="9">
        <v>0.95</v>
      </c>
      <c r="E20" s="10">
        <v>11</v>
      </c>
      <c r="F20" s="6">
        <v>204965</v>
      </c>
      <c r="H20" s="26">
        <f>Regression_Model_Summary!$B$35+Regression_Model_Summary!$B$31*B20+Regression_Model_Summary!$B$32*C20+Regression_Model_Summary!$B$33*D20+Regression_Model_Summary!$B$34*E20</f>
        <v>202661.17874383906</v>
      </c>
      <c r="I20" s="26">
        <f t="shared" si="0"/>
        <v>2303.8212561609398</v>
      </c>
    </row>
    <row r="21" spans="1:9" x14ac:dyDescent="0.3">
      <c r="A21" s="5">
        <v>45352</v>
      </c>
      <c r="B21" s="6">
        <v>32700</v>
      </c>
      <c r="C21" s="8">
        <v>5.6000000000000001E-2</v>
      </c>
      <c r="D21" s="9">
        <v>1.02</v>
      </c>
      <c r="E21" s="10">
        <v>12</v>
      </c>
      <c r="F21" s="6">
        <v>217945</v>
      </c>
      <c r="H21" s="26">
        <f>Regression_Model_Summary!$B$35+Regression_Model_Summary!$B$31*B21+Regression_Model_Summary!$B$32*C21+Regression_Model_Summary!$B$33*D21+Regression_Model_Summary!$B$34*E21</f>
        <v>219928.69206417946</v>
      </c>
      <c r="I21" s="26">
        <f t="shared" si="0"/>
        <v>-1983.6920641794568</v>
      </c>
    </row>
    <row r="22" spans="1:9" x14ac:dyDescent="0.3">
      <c r="A22" s="5">
        <v>45383</v>
      </c>
      <c r="B22" s="6">
        <v>36100</v>
      </c>
      <c r="C22" s="8">
        <v>6.4000000000000001E-2</v>
      </c>
      <c r="D22" s="9">
        <v>1.08</v>
      </c>
      <c r="E22" s="10">
        <v>8</v>
      </c>
      <c r="F22" s="6">
        <v>210335</v>
      </c>
      <c r="H22" s="26">
        <f>Regression_Model_Summary!$B$35+Regression_Model_Summary!$B$31*B22+Regression_Model_Summary!$B$32*C22+Regression_Model_Summary!$B$33*D22+Regression_Model_Summary!$B$34*E22</f>
        <v>212494.37128275391</v>
      </c>
      <c r="I22" s="26">
        <f t="shared" si="0"/>
        <v>-2159.371282753913</v>
      </c>
    </row>
    <row r="23" spans="1:9" x14ac:dyDescent="0.3">
      <c r="A23" s="5">
        <v>45413</v>
      </c>
      <c r="B23" s="6">
        <v>39500</v>
      </c>
      <c r="C23" s="8">
        <v>7.2000000000000008E-2</v>
      </c>
      <c r="D23" s="9">
        <v>1.1299999999999999</v>
      </c>
      <c r="E23" s="10">
        <v>9</v>
      </c>
      <c r="F23" s="6">
        <v>231535</v>
      </c>
      <c r="H23" s="26">
        <f>Regression_Model_Summary!$B$35+Regression_Model_Summary!$B$31*B23+Regression_Model_Summary!$B$32*C23+Regression_Model_Summary!$B$33*D23+Regression_Model_Summary!$B$34*E23</f>
        <v>229029.5870928943</v>
      </c>
      <c r="I23" s="26">
        <f t="shared" si="0"/>
        <v>2505.4129071056959</v>
      </c>
    </row>
    <row r="24" spans="1:9" x14ac:dyDescent="0.3">
      <c r="A24" s="5">
        <v>45444</v>
      </c>
      <c r="B24" s="6">
        <v>42900</v>
      </c>
      <c r="C24" s="8">
        <v>0.08</v>
      </c>
      <c r="D24" s="9">
        <v>1.17</v>
      </c>
      <c r="E24" s="10">
        <v>10</v>
      </c>
      <c r="F24" s="6">
        <v>244045</v>
      </c>
      <c r="H24" s="26">
        <f>Regression_Model_Summary!$B$35+Regression_Model_Summary!$B$31*B24+Regression_Model_Summary!$B$32*C24+Regression_Model_Summary!$B$33*D24+Regression_Model_Summary!$B$34*E24</f>
        <v>245198.65414793469</v>
      </c>
      <c r="I24" s="26">
        <f t="shared" si="0"/>
        <v>-1153.6541479346924</v>
      </c>
    </row>
    <row r="25" spans="1:9" x14ac:dyDescent="0.3">
      <c r="A25" s="5">
        <v>45474</v>
      </c>
      <c r="B25" s="6">
        <v>46300</v>
      </c>
      <c r="C25" s="8">
        <v>0.04</v>
      </c>
      <c r="D25" s="9">
        <v>1.1200000000000001</v>
      </c>
      <c r="E25" s="10">
        <v>11</v>
      </c>
      <c r="F25" s="6">
        <v>268085</v>
      </c>
      <c r="H25" s="26">
        <f>Regression_Model_Summary!$B$35+Regression_Model_Summary!$B$31*B25+Regression_Model_Summary!$B$32*C25+Regression_Model_Summary!$B$33*D25+Regression_Model_Summary!$B$34*E25</f>
        <v>266725.72542781255</v>
      </c>
      <c r="I25" s="26">
        <f t="shared" si="0"/>
        <v>1359.2745721874526</v>
      </c>
    </row>
    <row r="26" spans="1:9" x14ac:dyDescent="0.3">
      <c r="A26" s="5">
        <v>45505</v>
      </c>
      <c r="B26" s="6">
        <v>49700</v>
      </c>
      <c r="C26" s="8">
        <v>4.8000000000000001E-2</v>
      </c>
      <c r="D26" s="9">
        <v>1.05</v>
      </c>
      <c r="E26" s="10">
        <v>12</v>
      </c>
      <c r="F26" s="6">
        <v>277005</v>
      </c>
      <c r="H26" s="26">
        <f>Regression_Model_Summary!$B$35+Regression_Model_Summary!$B$31*B26+Regression_Model_Summary!$B$32*C26+Regression_Model_Summary!$B$33*D26+Regression_Model_Summary!$B$34*E26</f>
        <v>278867.15617675305</v>
      </c>
      <c r="I26" s="26">
        <f t="shared" si="0"/>
        <v>-1862.1561767530511</v>
      </c>
    </row>
    <row r="27" spans="1:9" x14ac:dyDescent="0.3">
      <c r="A27" s="5">
        <v>45536</v>
      </c>
      <c r="B27" s="6">
        <v>20200</v>
      </c>
      <c r="C27" s="8">
        <v>5.6000000000000001E-2</v>
      </c>
      <c r="D27" s="9">
        <v>0.98</v>
      </c>
      <c r="E27" s="10">
        <v>8</v>
      </c>
      <c r="F27" s="6">
        <v>155410</v>
      </c>
      <c r="H27" s="26">
        <f>Regression_Model_Summary!$B$35+Regression_Model_Summary!$B$31*B27+Regression_Model_Summary!$B$32*C27+Regression_Model_Summary!$B$33*D27+Regression_Model_Summary!$B$34*E27</f>
        <v>157526.58258226723</v>
      </c>
      <c r="I27" s="26">
        <f t="shared" si="0"/>
        <v>-2116.5825822672341</v>
      </c>
    </row>
    <row r="28" spans="1:9" x14ac:dyDescent="0.3">
      <c r="A28" s="5">
        <v>45566</v>
      </c>
      <c r="B28" s="6">
        <v>23600</v>
      </c>
      <c r="C28" s="8">
        <v>6.4000000000000001E-2</v>
      </c>
      <c r="D28" s="9">
        <v>0.94</v>
      </c>
      <c r="E28" s="10">
        <v>9</v>
      </c>
      <c r="F28" s="6">
        <v>174000</v>
      </c>
      <c r="H28" s="26">
        <f>Regression_Model_Summary!$B$35+Regression_Model_Summary!$B$31*B28+Regression_Model_Summary!$B$32*C28+Regression_Model_Summary!$B$33*D28+Regression_Model_Summary!$B$34*E28</f>
        <v>170766.45959650778</v>
      </c>
      <c r="I28" s="26">
        <f t="shared" si="0"/>
        <v>3233.5404034922249</v>
      </c>
    </row>
    <row r="29" spans="1:9" x14ac:dyDescent="0.3">
      <c r="A29" s="5">
        <v>45597</v>
      </c>
      <c r="B29" s="6">
        <v>27000</v>
      </c>
      <c r="C29" s="8">
        <v>7.2000000000000008E-2</v>
      </c>
      <c r="D29" s="9">
        <v>0.97</v>
      </c>
      <c r="E29" s="10">
        <v>10</v>
      </c>
      <c r="F29" s="6">
        <v>186220</v>
      </c>
      <c r="H29" s="26">
        <f>Regression_Model_Summary!$B$35+Regression_Model_Summary!$B$31*B29+Regression_Model_Summary!$B$32*C29+Regression_Model_Summary!$B$33*D29+Regression_Model_Summary!$B$34*E29</f>
        <v>186569.37789644819</v>
      </c>
      <c r="I29" s="26">
        <f t="shared" si="0"/>
        <v>-349.37789644818986</v>
      </c>
    </row>
    <row r="30" spans="1:9" x14ac:dyDescent="0.3">
      <c r="A30" s="5">
        <v>45627</v>
      </c>
      <c r="B30" s="6">
        <v>30400</v>
      </c>
      <c r="C30" s="8">
        <v>0.08</v>
      </c>
      <c r="D30" s="9">
        <v>1.1000000000000001</v>
      </c>
      <c r="E30" s="10">
        <v>11</v>
      </c>
      <c r="F30" s="6">
        <v>208040</v>
      </c>
      <c r="H30" s="26">
        <f>Regression_Model_Summary!$B$35+Regression_Model_Summary!$B$31*B30+Regression_Model_Summary!$B$32*C30+Regression_Model_Summary!$B$33*D30+Regression_Model_Summary!$B$34*E30</f>
        <v>206033.78374738849</v>
      </c>
      <c r="I30" s="26">
        <f t="shared" si="0"/>
        <v>2006.2162526115135</v>
      </c>
    </row>
    <row r="31" spans="1:9" x14ac:dyDescent="0.3">
      <c r="A31" s="5">
        <v>45658</v>
      </c>
      <c r="B31" s="6">
        <v>33800</v>
      </c>
      <c r="C31" s="8">
        <v>0.04</v>
      </c>
      <c r="D31" s="9">
        <v>0.91</v>
      </c>
      <c r="E31" s="10">
        <v>12</v>
      </c>
      <c r="F31" s="6">
        <v>220920</v>
      </c>
      <c r="H31" s="26">
        <f>Regression_Model_Summary!$B$35+Regression_Model_Summary!$B$31*B31+Regression_Model_Summary!$B$32*C31+Regression_Model_Summary!$B$33*D31+Regression_Model_Summary!$B$34*E31</f>
        <v>222434.77245586645</v>
      </c>
      <c r="I31" s="26">
        <f t="shared" si="0"/>
        <v>-1514.7724558664486</v>
      </c>
    </row>
    <row r="32" spans="1:9" x14ac:dyDescent="0.3">
      <c r="A32" s="5">
        <v>45689</v>
      </c>
      <c r="B32" s="6">
        <v>37200</v>
      </c>
      <c r="C32" s="8">
        <v>4.8000000000000001E-2</v>
      </c>
      <c r="D32" s="9">
        <v>0.95</v>
      </c>
      <c r="E32" s="10">
        <v>8</v>
      </c>
      <c r="F32" s="6">
        <v>212730</v>
      </c>
      <c r="H32" s="26">
        <f>Regression_Model_Summary!$B$35+Regression_Model_Summary!$B$31*B32+Regression_Model_Summary!$B$32*C32+Regression_Model_Summary!$B$33*D32+Regression_Model_Summary!$B$34*E32</f>
        <v>214268.15416424093</v>
      </c>
      <c r="I32" s="26">
        <f t="shared" si="0"/>
        <v>-1538.1541642409284</v>
      </c>
    </row>
    <row r="33" spans="1:9" x14ac:dyDescent="0.3">
      <c r="A33" s="5">
        <v>45717</v>
      </c>
      <c r="B33" s="6">
        <v>40600</v>
      </c>
      <c r="C33" s="8">
        <v>5.6000000000000001E-2</v>
      </c>
      <c r="D33" s="9">
        <v>1.02</v>
      </c>
      <c r="E33" s="10">
        <v>9</v>
      </c>
      <c r="F33" s="6">
        <v>234510</v>
      </c>
      <c r="H33" s="26">
        <f>Regression_Model_Summary!$B$35+Regression_Model_Summary!$B$31*B33+Regression_Model_Summary!$B$32*C33+Regression_Model_Summary!$B$33*D33+Regression_Model_Summary!$B$34*E33</f>
        <v>231535.6674845813</v>
      </c>
      <c r="I33" s="26">
        <f t="shared" si="0"/>
        <v>2974.3325154187041</v>
      </c>
    </row>
    <row r="34" spans="1:9" x14ac:dyDescent="0.3">
      <c r="A34" s="5">
        <v>45748</v>
      </c>
      <c r="B34" s="6">
        <v>44000</v>
      </c>
      <c r="C34" s="8">
        <v>6.4000000000000001E-2</v>
      </c>
      <c r="D34" s="9">
        <v>1.08</v>
      </c>
      <c r="E34" s="10">
        <v>10</v>
      </c>
      <c r="F34" s="6">
        <v>247600</v>
      </c>
      <c r="H34" s="26">
        <f>Regression_Model_Summary!$B$35+Regression_Model_Summary!$B$31*B34+Regression_Model_Summary!$B$32*C34+Regression_Model_Summary!$B$33*D34+Regression_Model_Summary!$B$34*E34</f>
        <v>248437.03204982169</v>
      </c>
      <c r="I34" s="26">
        <f t="shared" si="0"/>
        <v>-837.03204982168972</v>
      </c>
    </row>
    <row r="35" spans="1:9" x14ac:dyDescent="0.3">
      <c r="A35" s="5">
        <v>45778</v>
      </c>
      <c r="B35" s="6">
        <v>47400</v>
      </c>
      <c r="C35" s="8">
        <v>7.2000000000000008E-2</v>
      </c>
      <c r="D35" s="9">
        <v>1.1299999999999999</v>
      </c>
      <c r="E35" s="10">
        <v>11</v>
      </c>
      <c r="F35" s="6">
        <v>267100</v>
      </c>
      <c r="H35" s="26">
        <f>Regression_Model_Summary!$B$35+Regression_Model_Summary!$B$31*B35+Regression_Model_Summary!$B$32*C35+Regression_Model_Summary!$B$33*D35+Regression_Model_Summary!$B$34*E35</f>
        <v>264972.24785996205</v>
      </c>
      <c r="I35" s="26">
        <f t="shared" si="0"/>
        <v>2127.7521400379483</v>
      </c>
    </row>
    <row r="36" spans="1:9" x14ac:dyDescent="0.3">
      <c r="A36" s="5">
        <v>45809</v>
      </c>
      <c r="B36" s="6">
        <v>50800</v>
      </c>
      <c r="C36" s="8">
        <v>0.08</v>
      </c>
      <c r="D36" s="9">
        <v>1.17</v>
      </c>
      <c r="E36" s="10">
        <v>12</v>
      </c>
      <c r="F36" s="6">
        <v>279210</v>
      </c>
      <c r="H36" s="26">
        <f>Regression_Model_Summary!$B$35+Regression_Model_Summary!$B$31*B36+Regression_Model_Summary!$B$32*C36+Regression_Model_Summary!$B$33*D36+Regression_Model_Summary!$B$34*E36</f>
        <v>281141.3149150025</v>
      </c>
      <c r="I36" s="26">
        <f t="shared" si="0"/>
        <v>-1931.3149150024983</v>
      </c>
    </row>
    <row r="39" spans="1:9" ht="15.6" x14ac:dyDescent="0.3">
      <c r="A39" s="12" t="s">
        <v>215</v>
      </c>
    </row>
    <row r="41" spans="1:9" ht="28.8" x14ac:dyDescent="0.3">
      <c r="A41" s="13" t="s">
        <v>64</v>
      </c>
      <c r="B41" s="24" t="s">
        <v>264</v>
      </c>
    </row>
    <row r="42" spans="1:9" ht="28.8" x14ac:dyDescent="0.3">
      <c r="A42" s="13" t="s">
        <v>216</v>
      </c>
      <c r="B42" s="24" t="s">
        <v>265</v>
      </c>
    </row>
    <row r="43" spans="1:9" x14ac:dyDescent="0.3">
      <c r="A43" s="13" t="s">
        <v>217</v>
      </c>
      <c r="B43" s="24" t="s">
        <v>266</v>
      </c>
    </row>
    <row r="44" spans="1:9" x14ac:dyDescent="0.3">
      <c r="A44" s="13" t="s">
        <v>267</v>
      </c>
      <c r="B44" s="24" t="str">
        <f>"Marketing: each additional $1,000 of spend is associated with approximately "&amp;TEXT(Regression_Model_Summary!$B$31*1000,"$#,##0")&amp;" higher monthly sales."</f>
        <v>Marketing: each additional $1,000 of spend is associated with approximately $3,318 higher monthly sales.</v>
      </c>
    </row>
    <row r="45" spans="1:9" x14ac:dyDescent="0.3">
      <c r="A45" s="13" t="s">
        <v>268</v>
      </c>
      <c r="B45" s="24" t="str">
        <f>"Sales capacity: each additional active representative is associated with approximately "&amp;TEXT(Regression_Model_Summary!$B$34,"$#,##0")&amp;" higher monthly sales."</f>
        <v>Sales capacity: each additional active representative is associated with approximately $4,867 higher monthly sales.</v>
      </c>
    </row>
    <row r="46" spans="1:9" x14ac:dyDescent="0.3">
      <c r="A46" s="13" t="s">
        <v>269</v>
      </c>
      <c r="B46" s="24" t="str">
        <f>"Seasonality: a 0.10 increase in the seasonality index is associated with approximately "&amp;TEXT(Regression_Model_Summary!$B$33*0.1,"$#,##0")&amp;" higher monthly sales."</f>
        <v>Seasonality: a 0.10 increase in the seasonality index is associated with approximately $3,661 higher monthly sales.</v>
      </c>
    </row>
    <row r="47" spans="1:9" ht="28.8" x14ac:dyDescent="0.3">
      <c r="A47" s="13" t="s">
        <v>219</v>
      </c>
      <c r="B47" s="24" t="str">
        <f>"Sales = "&amp;TEXT(Regression_Model_Summary!$B$35,"$#,##0")&amp;" + "&amp;TEXT(Regression_Model_Summary!$B$31,"0.000")&amp;"×Marketing Spend "&amp;IF(Regression_Model_Summary!$B$32&lt;0,"- ","+ ")&amp;TEXT(ABS(Regression_Model_Summary!$B$32),"$#,##0")&amp;"×Average Discount + "&amp;TEXT(Regression_Model_Summary!$B$33,"$#,##0")&amp;"×Seasonality Index + "&amp;TEXT(Regression_Model_Summary!$B$34,"$#,##0")&amp;"×Active Reps"</f>
        <v>Sales = $25,789 + 3.318×Marketing Spend - $180,278×Average Discount + $36,615×Seasonality Index + $4,867×Active Reps</v>
      </c>
    </row>
    <row r="48" spans="1:9" x14ac:dyDescent="0.3">
      <c r="A48" s="13" t="s">
        <v>270</v>
      </c>
      <c r="B48" s="24" t="str">
        <f>"Fitted monthly estimates are shown in H7:H36. For planning, use an approximate range of predicted sales ±"&amp;TEXT(2*Regression_Model_Summary!$B$10,"$#,##0")&amp;"."</f>
        <v>Fitted monthly estimates are shown in H7:H36. For planning, use an approximate range of predicted sales ±$4,339.</v>
      </c>
    </row>
    <row r="49" spans="1:2" x14ac:dyDescent="0.3">
      <c r="A49" s="13" t="s">
        <v>220</v>
      </c>
      <c r="B49" s="24" t="str">
        <f>"Adjusted R² is "&amp;TEXT(Regression_Model_Summary!$B$9,"0.0%")&amp;"; typical in-sample error is "&amp;TEXT(Regression_Model_Summary!$B$10,"$#,##0")&amp;". Six-month holdout RMSE is "&amp;TEXT(Regression_Model_Summary!$B$13,"$#,##0")&amp;"."</f>
        <v>Adjusted R² is 99.7%; typical in-sample error is $2,170. Six-month holdout RMSE is $2,015.</v>
      </c>
    </row>
    <row r="50" spans="1:2" ht="28.8" x14ac:dyDescent="0.3">
      <c r="A50" s="13" t="s">
        <v>271</v>
      </c>
      <c r="B50" s="24" t="s">
        <v>272</v>
      </c>
    </row>
    <row r="51" spans="1:2" ht="29.4" thickBot="1" x14ac:dyDescent="0.35">
      <c r="A51" s="13" t="s">
        <v>223</v>
      </c>
      <c r="B51" s="24" t="s">
        <v>273</v>
      </c>
    </row>
    <row r="52" spans="1:2" ht="15" thickBot="1" x14ac:dyDescent="0.35">
      <c r="A52" s="13" t="s">
        <v>224</v>
      </c>
      <c r="B52" s="29" t="s">
        <v>47</v>
      </c>
    </row>
    <row r="53" spans="1:2" ht="28.8" x14ac:dyDescent="0.3">
      <c r="A53" s="13" t="s">
        <v>225</v>
      </c>
      <c r="B53" s="24" t="s">
        <v>274</v>
      </c>
    </row>
  </sheetData>
  <autoFilter ref="A6:F36" xr:uid="{00000000-0009-0000-0000-000004000000}"/>
  <mergeCells count="4">
    <mergeCell ref="B4:F4"/>
    <mergeCell ref="A2:F2"/>
    <mergeCell ref="A1:F1"/>
    <mergeCell ref="B3:F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D54EF-B4FB-49FD-B294-B62BAF231ECB}">
  <sheetPr>
    <tabColor theme="6" tint="-0.249977111117893"/>
  </sheetPr>
  <dimension ref="A1:G66"/>
  <sheetViews>
    <sheetView topLeftCell="A19" workbookViewId="0">
      <selection activeCell="C39" sqref="C39"/>
    </sheetView>
  </sheetViews>
  <sheetFormatPr defaultRowHeight="14.4" x14ac:dyDescent="0.3"/>
  <cols>
    <col min="1" max="1" width="25.88671875" customWidth="1"/>
    <col min="2" max="2" width="33.33203125" customWidth="1"/>
    <col min="3" max="3" width="44.44140625" customWidth="1"/>
    <col min="4" max="5" width="19.44140625" customWidth="1"/>
    <col min="6" max="7" width="51.88671875" customWidth="1"/>
  </cols>
  <sheetData>
    <row r="1" spans="1:2" ht="18" x14ac:dyDescent="0.35">
      <c r="A1" s="14" t="s">
        <v>226</v>
      </c>
    </row>
    <row r="3" spans="1:2" x14ac:dyDescent="0.3">
      <c r="A3" s="15" t="s">
        <v>227</v>
      </c>
    </row>
    <row r="4" spans="1:2" x14ac:dyDescent="0.3">
      <c r="A4" s="13" t="s">
        <v>228</v>
      </c>
      <c r="B4" t="s">
        <v>70</v>
      </c>
    </row>
    <row r="5" spans="1:2" x14ac:dyDescent="0.3">
      <c r="A5" s="13" t="s">
        <v>229</v>
      </c>
      <c r="B5" t="s">
        <v>275</v>
      </c>
    </row>
    <row r="6" spans="1:2" ht="28.8" x14ac:dyDescent="0.3">
      <c r="A6" s="13" t="s">
        <v>231</v>
      </c>
      <c r="B6" s="24" t="s">
        <v>276</v>
      </c>
    </row>
    <row r="7" spans="1:2" x14ac:dyDescent="0.3">
      <c r="A7" s="13" t="s">
        <v>232</v>
      </c>
      <c r="B7" s="30">
        <f>COUNT(Multiple_Regression!F7:F36)</f>
        <v>30</v>
      </c>
    </row>
    <row r="8" spans="1:2" x14ac:dyDescent="0.3">
      <c r="A8" s="13" t="s">
        <v>233</v>
      </c>
      <c r="B8" s="31">
        <f>INDEX(LINEST(Multiple_Regression!F7:F36,Multiple_Regression!B7:E36,TRUE,TRUE),3,1)</f>
        <v>0.99724699202975231</v>
      </c>
    </row>
    <row r="9" spans="1:2" x14ac:dyDescent="0.3">
      <c r="A9" s="13" t="s">
        <v>234</v>
      </c>
      <c r="B9" s="31">
        <f>1-(1-B8)*(B7-1)/(B7-4-1)</f>
        <v>0.99680651075451265</v>
      </c>
    </row>
    <row r="10" spans="1:2" x14ac:dyDescent="0.3">
      <c r="A10" s="13" t="s">
        <v>277</v>
      </c>
      <c r="B10" s="32">
        <f>INDEX(LINEST(Multiple_Regression!F7:F36,Multiple_Regression!B7:E36,TRUE,TRUE),3,2)</f>
        <v>2169.7053102616837</v>
      </c>
    </row>
    <row r="11" spans="1:2" ht="28.8" x14ac:dyDescent="0.3">
      <c r="A11" s="13" t="s">
        <v>236</v>
      </c>
      <c r="B11" s="24" t="s">
        <v>278</v>
      </c>
    </row>
    <row r="12" spans="1:2" x14ac:dyDescent="0.3">
      <c r="A12" s="13" t="s">
        <v>257</v>
      </c>
      <c r="B12" s="32">
        <f>SUMPRODUCT(ABS(E61:E66))/COUNT(E61:E66)</f>
        <v>1877.020220589465</v>
      </c>
    </row>
    <row r="13" spans="1:2" x14ac:dyDescent="0.3">
      <c r="A13" s="13" t="s">
        <v>258</v>
      </c>
      <c r="B13" s="32">
        <f>SQRT(SUMSQ(E61:E66)/COUNT(E61:E66))</f>
        <v>2015.125518166732</v>
      </c>
    </row>
    <row r="14" spans="1:2" x14ac:dyDescent="0.3">
      <c r="A14" s="13" t="s">
        <v>224</v>
      </c>
      <c r="B14" s="33" t="s">
        <v>47</v>
      </c>
    </row>
    <row r="17" spans="1:7" x14ac:dyDescent="0.3">
      <c r="A17" s="15" t="s">
        <v>237</v>
      </c>
    </row>
    <row r="18" spans="1:7" x14ac:dyDescent="0.3">
      <c r="A18" s="13" t="s">
        <v>238</v>
      </c>
      <c r="B18" s="13" t="s">
        <v>239</v>
      </c>
      <c r="C18" s="13" t="s">
        <v>240</v>
      </c>
      <c r="D18" s="13" t="s">
        <v>241</v>
      </c>
      <c r="E18" s="13" t="s">
        <v>242</v>
      </c>
      <c r="F18" s="13" t="s">
        <v>279</v>
      </c>
      <c r="G18" s="13" t="s">
        <v>244</v>
      </c>
    </row>
    <row r="19" spans="1:7" ht="28.8" x14ac:dyDescent="0.3">
      <c r="A19">
        <v>1</v>
      </c>
      <c r="B19" t="s">
        <v>69</v>
      </c>
      <c r="C19" t="s">
        <v>245</v>
      </c>
      <c r="D19" s="18">
        <f>B31</f>
        <v>3.3175172947343592</v>
      </c>
      <c r="E19" t="s">
        <v>280</v>
      </c>
      <c r="F19" s="24" t="str">
        <f>"Each additional $1,000 is associated with approximately "&amp;TEXT(D19*1000,"$#,##0")&amp;" higher sales, holding other factors constant."</f>
        <v>Each additional $1,000 is associated with approximately $3,318 higher sales, holding other factors constant.</v>
      </c>
      <c r="G19" s="24" t="s">
        <v>281</v>
      </c>
    </row>
    <row r="20" spans="1:7" ht="28.8" x14ac:dyDescent="0.3">
      <c r="A20">
        <v>2</v>
      </c>
      <c r="B20" t="s">
        <v>77</v>
      </c>
      <c r="C20" t="s">
        <v>245</v>
      </c>
      <c r="D20" s="28">
        <f>B34</f>
        <v>4867.1370693331883</v>
      </c>
      <c r="E20" t="s">
        <v>280</v>
      </c>
      <c r="F20" s="24" t="str">
        <f>"Each additional active representative is associated with approximately "&amp;TEXT(D20,"$#,##0")&amp;" higher monthly sales."</f>
        <v>Each additional active representative is associated with approximately $4,867 higher monthly sales.</v>
      </c>
      <c r="G20" s="24" t="s">
        <v>282</v>
      </c>
    </row>
    <row r="21" spans="1:7" ht="28.8" x14ac:dyDescent="0.3">
      <c r="A21">
        <v>3</v>
      </c>
      <c r="B21" t="s">
        <v>76</v>
      </c>
      <c r="C21" t="s">
        <v>245</v>
      </c>
      <c r="D21" s="28">
        <f>B33</f>
        <v>36614.875509998645</v>
      </c>
      <c r="E21" t="s">
        <v>280</v>
      </c>
      <c r="F21" s="24" t="str">
        <f>"A 0.10 increase in the index is associated with approximately "&amp;TEXT(D21*0.1,"$#,##0")&amp;" higher sales."</f>
        <v>A 0.10 increase in the index is associated with approximately $3,661 higher sales.</v>
      </c>
      <c r="G21" s="24" t="s">
        <v>283</v>
      </c>
    </row>
    <row r="24" spans="1:7" x14ac:dyDescent="0.3">
      <c r="A24" s="15" t="s">
        <v>246</v>
      </c>
    </row>
    <row r="25" spans="1:7" x14ac:dyDescent="0.3">
      <c r="A25" s="13" t="s">
        <v>247</v>
      </c>
      <c r="B25" s="13" t="s">
        <v>248</v>
      </c>
      <c r="C25" s="13" t="s">
        <v>284</v>
      </c>
    </row>
    <row r="26" spans="1:7" ht="28.8" x14ac:dyDescent="0.3">
      <c r="A26" t="s">
        <v>249</v>
      </c>
      <c r="B26" t="s">
        <v>250</v>
      </c>
      <c r="C26" s="24" t="s">
        <v>285</v>
      </c>
    </row>
    <row r="27" spans="1:7" ht="28.8" x14ac:dyDescent="0.3">
      <c r="A27" t="s">
        <v>251</v>
      </c>
      <c r="B27" t="s">
        <v>250</v>
      </c>
      <c r="C27" s="24" t="s">
        <v>286</v>
      </c>
    </row>
    <row r="28" spans="1:7" ht="28.8" x14ac:dyDescent="0.3">
      <c r="A28" t="s">
        <v>29</v>
      </c>
      <c r="B28" t="s">
        <v>250</v>
      </c>
      <c r="C28" s="24" t="s">
        <v>287</v>
      </c>
    </row>
    <row r="29" spans="1:7" ht="28.8" x14ac:dyDescent="0.3">
      <c r="A29" t="s">
        <v>222</v>
      </c>
      <c r="B29" t="s">
        <v>250</v>
      </c>
      <c r="C29" s="24" t="s">
        <v>288</v>
      </c>
    </row>
    <row r="30" spans="1:7" ht="28.8" x14ac:dyDescent="0.3">
      <c r="A30" t="s">
        <v>252</v>
      </c>
      <c r="B30" t="s">
        <v>250</v>
      </c>
      <c r="C30" s="24" t="s">
        <v>289</v>
      </c>
    </row>
    <row r="31" spans="1:7" x14ac:dyDescent="0.3">
      <c r="A31" s="13" t="s">
        <v>69</v>
      </c>
      <c r="B31" s="18">
        <f>INDEX(LINEST(Multiple_Regression!F7:F36,Multiple_Regression!B7:E36,TRUE,TRUE),1,4)</f>
        <v>3.3175172947343592</v>
      </c>
      <c r="C31" s="20">
        <f>INDEX(LINEST(Multiple_Regression!F7:F36,Multiple_Regression!B7:E36,TRUE,TRUE),2,4)</f>
        <v>5.4890530329848454E-2</v>
      </c>
      <c r="D31" s="21">
        <f>B31/C31</f>
        <v>60.438791077417498</v>
      </c>
      <c r="E31" s="22">
        <f>_xlfn.T.DIST.2T(ABS(D31),B7-5)</f>
        <v>1.2715341352410196E-28</v>
      </c>
      <c r="F31" s="18">
        <f>B31-_xlfn.T.INV.2T(0.05,B7-5)*C31</f>
        <v>3.2044681313389622</v>
      </c>
      <c r="G31" s="18">
        <f>B31+_xlfn.T.INV.2T(0.05,B7-5)*C31</f>
        <v>3.4305664581297561</v>
      </c>
    </row>
    <row r="32" spans="1:7" x14ac:dyDescent="0.3">
      <c r="A32" s="13" t="s">
        <v>75</v>
      </c>
      <c r="B32" s="28">
        <f>INDEX(LINEST(Multiple_Regression!F7:F36,Multiple_Regression!B7:E36,TRUE,TRUE),1,3)</f>
        <v>-180277.97959869273</v>
      </c>
      <c r="C32" s="28">
        <f>INDEX(LINEST(Multiple_Regression!F7:F36,Multiple_Regression!B7:E36,TRUE,TRUE),2,3)</f>
        <v>36900.777449278954</v>
      </c>
      <c r="D32" s="21">
        <f>B32/C32</f>
        <v>-4.8854791703640759</v>
      </c>
      <c r="E32" s="22">
        <f>_xlfn.T.DIST.2T(ABS(D32),B7-5)</f>
        <v>5.0134283346314366E-5</v>
      </c>
      <c r="F32" s="28">
        <f>B32-_xlfn.T.INV.2T(0.05,B7-5)*C32</f>
        <v>-256276.55338205223</v>
      </c>
      <c r="G32" s="28">
        <f>B32+_xlfn.T.INV.2T(0.05,B7-5)*C32</f>
        <v>-104279.40581533323</v>
      </c>
    </row>
    <row r="33" spans="1:7" x14ac:dyDescent="0.3">
      <c r="A33" s="13" t="s">
        <v>76</v>
      </c>
      <c r="B33" s="28">
        <f>INDEX(LINEST(Multiple_Regression!F7:F36,Multiple_Regression!B7:E36,TRUE,TRUE),1,2)</f>
        <v>36614.875509998645</v>
      </c>
      <c r="C33" s="28">
        <f>INDEX(LINEST(Multiple_Regression!F7:F36,Multiple_Regression!B7:E36,TRUE,TRUE),2,2)</f>
        <v>6841.8645922059004</v>
      </c>
      <c r="D33" s="21">
        <f>B33/C33</f>
        <v>5.3515931244400097</v>
      </c>
      <c r="E33" s="22">
        <f>_xlfn.T.DIST.2T(ABS(D33),B7-5)</f>
        <v>1.504711790803202E-5</v>
      </c>
      <c r="F33" s="28">
        <f>B33-_xlfn.T.INV.2T(0.05,B7-5)*C33</f>
        <v>22523.791609632874</v>
      </c>
      <c r="G33" s="28">
        <f>B33+_xlfn.T.INV.2T(0.05,B7-5)*C33</f>
        <v>50705.959410364419</v>
      </c>
    </row>
    <row r="34" spans="1:7" x14ac:dyDescent="0.3">
      <c r="A34" s="13" t="s">
        <v>77</v>
      </c>
      <c r="B34" s="28">
        <f>INDEX(LINEST(Multiple_Regression!F7:F36,Multiple_Regression!B7:E36,TRUE,TRUE),1,1)</f>
        <v>4867.1370693331883</v>
      </c>
      <c r="C34" s="28">
        <f>INDEX(LINEST(Multiple_Regression!F7:F36,Multiple_Regression!B7:E36,TRUE,TRUE),2,1)</f>
        <v>325.69799378880958</v>
      </c>
      <c r="D34" s="21">
        <f>B34/C34</f>
        <v>14.943712157125404</v>
      </c>
      <c r="E34" s="22">
        <f>_xlfn.T.DIST.2T(ABS(D34),B7-5)</f>
        <v>5.7096612648370315E-14</v>
      </c>
      <c r="F34" s="28">
        <f>B34-_xlfn.T.INV.2T(0.05,B7-5)*C34</f>
        <v>4196.3494945707307</v>
      </c>
      <c r="G34" s="28">
        <f>B34+_xlfn.T.INV.2T(0.05,B7-5)*C34</f>
        <v>5537.9246440956458</v>
      </c>
    </row>
    <row r="35" spans="1:7" x14ac:dyDescent="0.3">
      <c r="A35" s="13" t="s">
        <v>255</v>
      </c>
      <c r="B35" s="28">
        <f>INDEX(LINEST(Multiple_Regression!F7:F36,Multiple_Regression!B7:E36,TRUE,TRUE),1,5)</f>
        <v>25788.625531695805</v>
      </c>
      <c r="C35" s="28">
        <f>INDEX(LINEST(Multiple_Regression!F7:F36,Multiple_Regression!B7:E36,TRUE,TRUE),2,5)</f>
        <v>6204.4073893930872</v>
      </c>
      <c r="D35" s="21">
        <f>B35/C35</f>
        <v>4.1565010021397768</v>
      </c>
      <c r="E35" s="22">
        <f>_xlfn.T.DIST.2T(ABS(D35),B7-5)</f>
        <v>3.3116591259880909E-4</v>
      </c>
      <c r="F35" s="28">
        <f>B35-_xlfn.T.INV.2T(0.05,B7-5)*C35</f>
        <v>13010.409316253301</v>
      </c>
      <c r="G35" s="28">
        <f>B35+_xlfn.T.INV.2T(0.05,B7-5)*C35</f>
        <v>38566.841747138307</v>
      </c>
    </row>
    <row r="39" spans="1:7" x14ac:dyDescent="0.3">
      <c r="A39" s="15" t="s">
        <v>296</v>
      </c>
    </row>
    <row r="40" spans="1:7" x14ac:dyDescent="0.3">
      <c r="A40" s="13" t="s">
        <v>239</v>
      </c>
      <c r="B40" s="13" t="s">
        <v>297</v>
      </c>
    </row>
    <row r="41" spans="1:7" x14ac:dyDescent="0.3">
      <c r="A41" t="s">
        <v>69</v>
      </c>
      <c r="B41" s="21">
        <v>1.8466488737480262</v>
      </c>
    </row>
    <row r="42" spans="1:7" x14ac:dyDescent="0.3">
      <c r="A42" t="s">
        <v>75</v>
      </c>
      <c r="B42" s="21">
        <v>1.6197856818931322</v>
      </c>
    </row>
    <row r="43" spans="1:7" x14ac:dyDescent="0.3">
      <c r="A43" t="s">
        <v>76</v>
      </c>
      <c r="B43" s="21">
        <v>2.1166795075673099</v>
      </c>
    </row>
    <row r="44" spans="1:7" x14ac:dyDescent="0.3">
      <c r="A44" t="s">
        <v>77</v>
      </c>
      <c r="B44" s="21">
        <v>1.352010029939809</v>
      </c>
    </row>
    <row r="47" spans="1:7" x14ac:dyDescent="0.3">
      <c r="A47" s="15" t="s">
        <v>298</v>
      </c>
    </row>
    <row r="48" spans="1:7" x14ac:dyDescent="0.3">
      <c r="A48" t="s">
        <v>299</v>
      </c>
      <c r="B48" t="s">
        <v>300</v>
      </c>
    </row>
    <row r="49" spans="1:5" x14ac:dyDescent="0.3">
      <c r="A49" t="s">
        <v>259</v>
      </c>
      <c r="B49" t="s">
        <v>301</v>
      </c>
    </row>
    <row r="50" spans="1:5" x14ac:dyDescent="0.3">
      <c r="A50" t="s">
        <v>302</v>
      </c>
    </row>
    <row r="60" spans="1:5" x14ac:dyDescent="0.3">
      <c r="A60" s="13" t="s">
        <v>68</v>
      </c>
      <c r="B60" s="13" t="s">
        <v>214</v>
      </c>
      <c r="C60" s="13" t="s">
        <v>260</v>
      </c>
      <c r="D60" s="13" t="s">
        <v>261</v>
      </c>
      <c r="E60" s="13" t="s">
        <v>303</v>
      </c>
    </row>
    <row r="61" spans="1:5" x14ac:dyDescent="0.3">
      <c r="A61" s="23">
        <f>Multiple_Regression!A31</f>
        <v>45658</v>
      </c>
      <c r="B61" s="26">
        <f>Multiple_Regression!F31</f>
        <v>220920</v>
      </c>
      <c r="C61" s="26">
        <f>INDEX(LINEST(Multiple_Regression!$F$7:$F$30,Multiple_Regression!$B$7:$E$30,TRUE,TRUE),1,5)+INDEX(LINEST(Multiple_Regression!$F$7:$F$30,Multiple_Regression!$B$7:$E$30,TRUE,TRUE),1,4)*Multiple_Regression!B31+INDEX(LINEST(Multiple_Regression!$F$7:$F$30,Multiple_Regression!$B$7:$E$30,TRUE,TRUE),1,3)*Multiple_Regression!C31+INDEX(LINEST(Multiple_Regression!$F$7:$F$30,Multiple_Regression!$B$7:$E$30,TRUE,TRUE),1,2)*Multiple_Regression!D31+INDEX(LINEST(Multiple_Regression!$F$7:$F$30,Multiple_Regression!$B$7:$E$30,TRUE,TRUE),1,1)*Multiple_Regression!E31</f>
        <v>222852.59370973741</v>
      </c>
      <c r="D61" s="26">
        <f>B61-C61</f>
        <v>-1932.5937097374117</v>
      </c>
      <c r="E61" s="26">
        <f>ABS(D61)</f>
        <v>1932.5937097374117</v>
      </c>
    </row>
    <row r="62" spans="1:5" x14ac:dyDescent="0.3">
      <c r="A62" s="23">
        <f>Multiple_Regression!A32</f>
        <v>45689</v>
      </c>
      <c r="B62" s="26">
        <f>Multiple_Regression!F32</f>
        <v>212730</v>
      </c>
      <c r="C62" s="26">
        <f>INDEX(LINEST(Multiple_Regression!$F$7:$F$30,Multiple_Regression!$B$7:$E$30,TRUE,TRUE),1,5)+INDEX(LINEST(Multiple_Regression!$F$7:$F$30,Multiple_Regression!$B$7:$E$30,TRUE,TRUE),1,4)*Multiple_Regression!B32+INDEX(LINEST(Multiple_Regression!$F$7:$F$30,Multiple_Regression!$B$7:$E$30,TRUE,TRUE),1,3)*Multiple_Regression!C32+INDEX(LINEST(Multiple_Regression!$F$7:$F$30,Multiple_Regression!$B$7:$E$30,TRUE,TRUE),1,2)*Multiple_Regression!D32+INDEX(LINEST(Multiple_Regression!$F$7:$F$30,Multiple_Regression!$B$7:$E$30,TRUE,TRUE),1,1)*Multiple_Regression!E32</f>
        <v>214073.72097559032</v>
      </c>
      <c r="D62" s="26">
        <f t="shared" ref="D62:D66" si="0">B62-C62</f>
        <v>-1343.7209755903168</v>
      </c>
      <c r="E62" s="26">
        <f t="shared" ref="E62:E66" si="1">ABS(D62)</f>
        <v>1343.7209755903168</v>
      </c>
    </row>
    <row r="63" spans="1:5" x14ac:dyDescent="0.3">
      <c r="A63" s="23">
        <f>Multiple_Regression!A33</f>
        <v>45717</v>
      </c>
      <c r="B63" s="26">
        <f>Multiple_Regression!F33</f>
        <v>234510</v>
      </c>
      <c r="C63" s="26">
        <f>INDEX(LINEST(Multiple_Regression!$F$7:$F$30,Multiple_Regression!$B$7:$E$30,TRUE,TRUE),1,5)+INDEX(LINEST(Multiple_Regression!$F$7:$F$30,Multiple_Regression!$B$7:$E$30,TRUE,TRUE),1,4)*Multiple_Regression!B33+INDEX(LINEST(Multiple_Regression!$F$7:$F$30,Multiple_Regression!$B$7:$E$30,TRUE,TRUE),1,3)*Multiple_Regression!C33+INDEX(LINEST(Multiple_Regression!$F$7:$F$30,Multiple_Regression!$B$7:$E$30,TRUE,TRUE),1,2)*Multiple_Regression!D33+INDEX(LINEST(Multiple_Regression!$F$7:$F$30,Multiple_Regression!$B$7:$E$30,TRUE,TRUE),1,1)*Multiple_Regression!E33</f>
        <v>231386.6520844817</v>
      </c>
      <c r="D63" s="26">
        <f t="shared" si="0"/>
        <v>3123.3479155183013</v>
      </c>
      <c r="E63" s="26">
        <f t="shared" si="1"/>
        <v>3123.3479155183013</v>
      </c>
    </row>
    <row r="64" spans="1:5" x14ac:dyDescent="0.3">
      <c r="A64" s="23">
        <f>Multiple_Regression!A34</f>
        <v>45748</v>
      </c>
      <c r="B64" s="26">
        <f>Multiple_Regression!F34</f>
        <v>247600</v>
      </c>
      <c r="C64" s="26">
        <f>INDEX(LINEST(Multiple_Regression!$F$7:$F$30,Multiple_Regression!$B$7:$E$30,TRUE,TRUE),1,5)+INDEX(LINEST(Multiple_Regression!$F$7:$F$30,Multiple_Regression!$B$7:$E$30,TRUE,TRUE),1,4)*Multiple_Regression!B34+INDEX(LINEST(Multiple_Regression!$F$7:$F$30,Multiple_Regression!$B$7:$E$30,TRUE,TRUE),1,3)*Multiple_Regression!C34+INDEX(LINEST(Multiple_Regression!$F$7:$F$30,Multiple_Regression!$B$7:$E$30,TRUE,TRUE),1,2)*Multiple_Regression!D34+INDEX(LINEST(Multiple_Regression!$F$7:$F$30,Multiple_Regression!$B$7:$E$30,TRUE,TRUE),1,1)*Multiple_Regression!E34</f>
        <v>248339.56929847965</v>
      </c>
      <c r="D64" s="26">
        <f t="shared" si="0"/>
        <v>-739.56929847964784</v>
      </c>
      <c r="E64" s="26">
        <f t="shared" si="1"/>
        <v>739.56929847964784</v>
      </c>
    </row>
    <row r="65" spans="1:5" x14ac:dyDescent="0.3">
      <c r="A65" s="23">
        <f>Multiple_Regression!A35</f>
        <v>45778</v>
      </c>
      <c r="B65" s="26">
        <f>Multiple_Regression!F35</f>
        <v>267100</v>
      </c>
      <c r="C65" s="26">
        <f>INDEX(LINEST(Multiple_Regression!$F$7:$F$30,Multiple_Regression!$B$7:$E$30,TRUE,TRUE),1,5)+INDEX(LINEST(Multiple_Regression!$F$7:$F$30,Multiple_Regression!$B$7:$E$30,TRUE,TRUE),1,4)*Multiple_Regression!B35+INDEX(LINEST(Multiple_Regression!$F$7:$F$30,Multiple_Regression!$B$7:$E$30,TRUE,TRUE),1,3)*Multiple_Regression!C35+INDEX(LINEST(Multiple_Regression!$F$7:$F$30,Multiple_Regression!$B$7:$E$30,TRUE,TRUE),1,2)*Multiple_Regression!D35+INDEX(LINEST(Multiple_Regression!$F$7:$F$30,Multiple_Regression!$B$7:$E$30,TRUE,TRUE),1,1)*Multiple_Regression!E35</f>
        <v>264932.47261758416</v>
      </c>
      <c r="D65" s="26">
        <f t="shared" si="0"/>
        <v>2167.5273824158357</v>
      </c>
      <c r="E65" s="26">
        <f t="shared" si="1"/>
        <v>2167.5273824158357</v>
      </c>
    </row>
    <row r="66" spans="1:5" x14ac:dyDescent="0.3">
      <c r="A66" s="23">
        <f>Multiple_Regression!A36</f>
        <v>45809</v>
      </c>
      <c r="B66" s="26">
        <f>Multiple_Regression!F36</f>
        <v>279210</v>
      </c>
      <c r="C66" s="26">
        <f>INDEX(LINEST(Multiple_Regression!$F$7:$F$30,Multiple_Regression!$B$7:$E$30,TRUE,TRUE),1,5)+INDEX(LINEST(Multiple_Regression!$F$7:$F$30,Multiple_Regression!$B$7:$E$30,TRUE,TRUE),1,4)*Multiple_Regression!B36+INDEX(LINEST(Multiple_Regression!$F$7:$F$30,Multiple_Regression!$B$7:$E$30,TRUE,TRUE),1,3)*Multiple_Regression!C36+INDEX(LINEST(Multiple_Regression!$F$7:$F$30,Multiple_Regression!$B$7:$E$30,TRUE,TRUE),1,2)*Multiple_Regression!D36+INDEX(LINEST(Multiple_Regression!$F$7:$F$30,Multiple_Regression!$B$7:$E$30,TRUE,TRUE),1,1)*Multiple_Regression!E36</f>
        <v>281165.36204179528</v>
      </c>
      <c r="D66" s="26">
        <f t="shared" si="0"/>
        <v>-1955.362041795277</v>
      </c>
      <c r="E66" s="26">
        <f t="shared" si="1"/>
        <v>1955.362041795277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G44"/>
  <sheetViews>
    <sheetView showGridLines="0" workbookViewId="0">
      <pane ySplit="6" topLeftCell="A35" activePane="bottomLeft" state="frozen"/>
      <selection pane="bottomLeft" activeCell="B39" sqref="B39"/>
    </sheetView>
  </sheetViews>
  <sheetFormatPr defaultRowHeight="14.4" x14ac:dyDescent="0.3"/>
  <cols>
    <col min="1" max="1" width="25" customWidth="1"/>
    <col min="2" max="2" width="96.33203125" customWidth="1"/>
    <col min="3" max="3" width="20" bestFit="1" customWidth="1"/>
    <col min="4" max="4" width="12.77734375" bestFit="1" customWidth="1"/>
    <col min="6" max="7" width="23.109375" customWidth="1"/>
  </cols>
  <sheetData>
    <row r="1" spans="1:7" ht="21" x14ac:dyDescent="0.3">
      <c r="A1" s="57" t="s">
        <v>78</v>
      </c>
      <c r="B1" s="58"/>
      <c r="C1" s="58"/>
      <c r="D1" s="58"/>
      <c r="E1" s="58"/>
      <c r="F1" s="58"/>
    </row>
    <row r="2" spans="1:7" x14ac:dyDescent="0.3">
      <c r="A2" s="59" t="s">
        <v>63</v>
      </c>
      <c r="B2" s="58"/>
      <c r="C2" s="58"/>
      <c r="D2" s="58"/>
      <c r="E2" s="58"/>
      <c r="F2" s="58"/>
    </row>
    <row r="3" spans="1:7" x14ac:dyDescent="0.3">
      <c r="A3" s="4" t="s">
        <v>64</v>
      </c>
      <c r="B3" s="60" t="s">
        <v>79</v>
      </c>
      <c r="C3" s="61"/>
      <c r="D3" s="61"/>
    </row>
    <row r="4" spans="1:7" x14ac:dyDescent="0.3">
      <c r="A4" s="4" t="s">
        <v>66</v>
      </c>
      <c r="B4" s="60" t="s">
        <v>80</v>
      </c>
      <c r="C4" s="61"/>
      <c r="D4" s="61"/>
    </row>
    <row r="6" spans="1:7" ht="28.8" x14ac:dyDescent="0.3">
      <c r="A6" s="3" t="s">
        <v>81</v>
      </c>
      <c r="B6" s="3" t="s">
        <v>82</v>
      </c>
      <c r="C6" s="3" t="s">
        <v>69</v>
      </c>
      <c r="D6" s="3" t="s">
        <v>83</v>
      </c>
      <c r="F6" s="27" t="s">
        <v>324</v>
      </c>
      <c r="G6" s="27" t="s">
        <v>325</v>
      </c>
    </row>
    <row r="7" spans="1:7" x14ac:dyDescent="0.3">
      <c r="A7" s="7" t="s">
        <v>84</v>
      </c>
      <c r="B7" s="7" t="s">
        <v>85</v>
      </c>
      <c r="C7" s="6">
        <v>9000</v>
      </c>
      <c r="D7" s="6">
        <v>77700</v>
      </c>
      <c r="E7" s="7"/>
      <c r="F7" s="35">
        <f>Outlier_Influence_Reg_Analysis!$C$33+Outlier_Influence_Reg_Analysis!$B$33*C7</f>
        <v>15404.372770755333</v>
      </c>
      <c r="G7" s="26">
        <f>Outlier_Influence_Reg_Analysis!$B$37+Outlier_Influence_Reg_Analysis!$B$36*C7</f>
        <v>79555.555555555533</v>
      </c>
    </row>
    <row r="8" spans="1:7" x14ac:dyDescent="0.3">
      <c r="A8" s="7" t="s">
        <v>86</v>
      </c>
      <c r="B8" s="7" t="s">
        <v>85</v>
      </c>
      <c r="C8" s="6">
        <v>11600</v>
      </c>
      <c r="D8" s="6">
        <v>91280</v>
      </c>
      <c r="E8" s="7"/>
      <c r="F8" s="35">
        <f>Outlier_Influence_Reg_Analysis!$C$33+Outlier_Influence_Reg_Analysis!$B$33*C8</f>
        <v>44986.188096252561</v>
      </c>
      <c r="G8" s="26">
        <f>Outlier_Influence_Reg_Analysis!$B$37+Outlier_Influence_Reg_Analysis!$B$36*C8</f>
        <v>89544.697609001392</v>
      </c>
    </row>
    <row r="9" spans="1:7" x14ac:dyDescent="0.3">
      <c r="A9" s="7" t="s">
        <v>87</v>
      </c>
      <c r="B9" s="7" t="s">
        <v>85</v>
      </c>
      <c r="C9" s="6">
        <v>14200</v>
      </c>
      <c r="D9" s="6">
        <v>99060</v>
      </c>
      <c r="E9" s="7"/>
      <c r="F9" s="35">
        <f>Outlier_Influence_Reg_Analysis!$C$33+Outlier_Influence_Reg_Analysis!$B$33*C9</f>
        <v>74568.003421749803</v>
      </c>
      <c r="G9" s="26">
        <f>Outlier_Influence_Reg_Analysis!$B$37+Outlier_Influence_Reg_Analysis!$B$36*C9</f>
        <v>99533.839662447252</v>
      </c>
    </row>
    <row r="10" spans="1:7" x14ac:dyDescent="0.3">
      <c r="A10" s="7" t="s">
        <v>88</v>
      </c>
      <c r="B10" s="7" t="s">
        <v>85</v>
      </c>
      <c r="C10" s="6">
        <v>16800</v>
      </c>
      <c r="D10" s="6">
        <v>111640</v>
      </c>
      <c r="E10" s="7"/>
      <c r="F10" s="35">
        <f>Outlier_Influence_Reg_Analysis!$C$33+Outlier_Influence_Reg_Analysis!$B$33*C10</f>
        <v>104149.81874724705</v>
      </c>
      <c r="G10" s="26">
        <f>Outlier_Influence_Reg_Analysis!$B$37+Outlier_Influence_Reg_Analysis!$B$36*C10</f>
        <v>109522.98171589311</v>
      </c>
    </row>
    <row r="11" spans="1:7" x14ac:dyDescent="0.3">
      <c r="A11" s="7" t="s">
        <v>89</v>
      </c>
      <c r="B11" s="7" t="s">
        <v>85</v>
      </c>
      <c r="C11" s="6">
        <v>19400</v>
      </c>
      <c r="D11" s="6">
        <v>118420</v>
      </c>
      <c r="E11" s="7"/>
      <c r="F11" s="35">
        <f>Outlier_Influence_Reg_Analysis!$C$33+Outlier_Influence_Reg_Analysis!$B$33*C11</f>
        <v>133731.63407274429</v>
      </c>
      <c r="G11" s="26">
        <f>Outlier_Influence_Reg_Analysis!$B$37+Outlier_Influence_Reg_Analysis!$B$36*C11</f>
        <v>119512.12376933896</v>
      </c>
    </row>
    <row r="12" spans="1:7" x14ac:dyDescent="0.3">
      <c r="A12" s="7" t="s">
        <v>90</v>
      </c>
      <c r="B12" s="7" t="s">
        <v>85</v>
      </c>
      <c r="C12" s="6">
        <v>22000</v>
      </c>
      <c r="D12" s="6">
        <v>130200</v>
      </c>
      <c r="E12" s="7"/>
      <c r="F12" s="35">
        <f>Outlier_Influence_Reg_Analysis!$C$33+Outlier_Influence_Reg_Analysis!$B$33*C12</f>
        <v>163313.44939824153</v>
      </c>
      <c r="G12" s="26">
        <f>Outlier_Influence_Reg_Analysis!$B$37+Outlier_Influence_Reg_Analysis!$B$36*C12</f>
        <v>129501.26582278482</v>
      </c>
    </row>
    <row r="13" spans="1:7" x14ac:dyDescent="0.3">
      <c r="A13" s="7" t="s">
        <v>91</v>
      </c>
      <c r="B13" s="7" t="s">
        <v>85</v>
      </c>
      <c r="C13" s="6">
        <v>24600</v>
      </c>
      <c r="D13" s="6">
        <v>136980</v>
      </c>
      <c r="E13" s="7"/>
      <c r="F13" s="35">
        <f>Outlier_Influence_Reg_Analysis!$C$33+Outlier_Influence_Reg_Analysis!$B$33*C13</f>
        <v>192895.2647237388</v>
      </c>
      <c r="G13" s="26">
        <f>Outlier_Influence_Reg_Analysis!$B$37+Outlier_Influence_Reg_Analysis!$B$36*C13</f>
        <v>139490.40787623066</v>
      </c>
    </row>
    <row r="14" spans="1:7" x14ac:dyDescent="0.3">
      <c r="A14" s="7" t="s">
        <v>92</v>
      </c>
      <c r="B14" s="7" t="s">
        <v>85</v>
      </c>
      <c r="C14" s="6">
        <v>27200</v>
      </c>
      <c r="D14" s="6">
        <v>150560</v>
      </c>
      <c r="E14" s="7"/>
      <c r="F14" s="35">
        <f>Outlier_Influence_Reg_Analysis!$C$33+Outlier_Influence_Reg_Analysis!$B$33*C14</f>
        <v>222477.08004923604</v>
      </c>
      <c r="G14" s="26">
        <f>Outlier_Influence_Reg_Analysis!$B$37+Outlier_Influence_Reg_Analysis!$B$36*C14</f>
        <v>149479.54992967652</v>
      </c>
    </row>
    <row r="15" spans="1:7" x14ac:dyDescent="0.3">
      <c r="A15" s="7" t="s">
        <v>93</v>
      </c>
      <c r="B15" s="7" t="s">
        <v>85</v>
      </c>
      <c r="C15" s="6">
        <v>9000</v>
      </c>
      <c r="D15" s="6">
        <v>79300</v>
      </c>
      <c r="E15" s="7"/>
      <c r="F15" s="35">
        <f>Outlier_Influence_Reg_Analysis!$C$33+Outlier_Influence_Reg_Analysis!$B$33*C15</f>
        <v>15404.372770755333</v>
      </c>
      <c r="G15" s="26">
        <f>Outlier_Influence_Reg_Analysis!$B$37+Outlier_Influence_Reg_Analysis!$B$36*C15</f>
        <v>79555.555555555533</v>
      </c>
    </row>
    <row r="16" spans="1:7" x14ac:dyDescent="0.3">
      <c r="A16" s="7" t="s">
        <v>94</v>
      </c>
      <c r="B16" s="7" t="s">
        <v>85</v>
      </c>
      <c r="C16" s="6">
        <v>11600</v>
      </c>
      <c r="D16" s="6">
        <v>91880</v>
      </c>
      <c r="E16" s="7"/>
      <c r="F16" s="35">
        <f>Outlier_Influence_Reg_Analysis!$C$33+Outlier_Influence_Reg_Analysis!$B$33*C16</f>
        <v>44986.188096252561</v>
      </c>
      <c r="G16" s="26">
        <f>Outlier_Influence_Reg_Analysis!$B$37+Outlier_Influence_Reg_Analysis!$B$36*C16</f>
        <v>89544.697609001392</v>
      </c>
    </row>
    <row r="17" spans="1:7" x14ac:dyDescent="0.3">
      <c r="A17" s="7" t="s">
        <v>95</v>
      </c>
      <c r="B17" s="7" t="s">
        <v>85</v>
      </c>
      <c r="C17" s="6">
        <v>14200</v>
      </c>
      <c r="D17" s="6">
        <v>98660</v>
      </c>
      <c r="E17" s="7"/>
      <c r="F17" s="35">
        <f>Outlier_Influence_Reg_Analysis!$C$33+Outlier_Influence_Reg_Analysis!$B$33*C17</f>
        <v>74568.003421749803</v>
      </c>
      <c r="G17" s="26">
        <f>Outlier_Influence_Reg_Analysis!$B$37+Outlier_Influence_Reg_Analysis!$B$36*C17</f>
        <v>99533.839662447252</v>
      </c>
    </row>
    <row r="18" spans="1:7" x14ac:dyDescent="0.3">
      <c r="A18" s="7" t="s">
        <v>96</v>
      </c>
      <c r="B18" s="7" t="s">
        <v>85</v>
      </c>
      <c r="C18" s="6">
        <v>16800</v>
      </c>
      <c r="D18" s="6">
        <v>110440</v>
      </c>
      <c r="E18" s="7"/>
      <c r="F18" s="35">
        <f>Outlier_Influence_Reg_Analysis!$C$33+Outlier_Influence_Reg_Analysis!$B$33*C18</f>
        <v>104149.81874724705</v>
      </c>
      <c r="G18" s="26">
        <f>Outlier_Influence_Reg_Analysis!$B$37+Outlier_Influence_Reg_Analysis!$B$36*C18</f>
        <v>109522.98171589311</v>
      </c>
    </row>
    <row r="19" spans="1:7" x14ac:dyDescent="0.3">
      <c r="A19" s="7" t="s">
        <v>97</v>
      </c>
      <c r="B19" s="7" t="s">
        <v>85</v>
      </c>
      <c r="C19" s="6">
        <v>19400</v>
      </c>
      <c r="D19" s="6">
        <v>117220</v>
      </c>
      <c r="E19" s="7"/>
      <c r="F19" s="35">
        <f>Outlier_Influence_Reg_Analysis!$C$33+Outlier_Influence_Reg_Analysis!$B$33*C19</f>
        <v>133731.63407274429</v>
      </c>
      <c r="G19" s="26">
        <f>Outlier_Influence_Reg_Analysis!$B$37+Outlier_Influence_Reg_Analysis!$B$36*C19</f>
        <v>119512.12376933896</v>
      </c>
    </row>
    <row r="20" spans="1:7" x14ac:dyDescent="0.3">
      <c r="A20" s="7" t="s">
        <v>98</v>
      </c>
      <c r="B20" s="7" t="s">
        <v>85</v>
      </c>
      <c r="C20" s="6">
        <v>22000</v>
      </c>
      <c r="D20" s="6">
        <v>130800</v>
      </c>
      <c r="E20" s="7"/>
      <c r="F20" s="35">
        <f>Outlier_Influence_Reg_Analysis!$C$33+Outlier_Influence_Reg_Analysis!$B$33*C20</f>
        <v>163313.44939824153</v>
      </c>
      <c r="G20" s="26">
        <f>Outlier_Influence_Reg_Analysis!$B$37+Outlier_Influence_Reg_Analysis!$B$36*C20</f>
        <v>129501.26582278482</v>
      </c>
    </row>
    <row r="21" spans="1:7" x14ac:dyDescent="0.3">
      <c r="A21" s="7" t="s">
        <v>99</v>
      </c>
      <c r="B21" s="7" t="s">
        <v>85</v>
      </c>
      <c r="C21" s="6">
        <v>24600</v>
      </c>
      <c r="D21" s="6">
        <v>138580</v>
      </c>
      <c r="E21" s="7"/>
      <c r="F21" s="35">
        <f>Outlier_Influence_Reg_Analysis!$C$33+Outlier_Influence_Reg_Analysis!$B$33*C21</f>
        <v>192895.2647237388</v>
      </c>
      <c r="G21" s="26">
        <f>Outlier_Influence_Reg_Analysis!$B$37+Outlier_Influence_Reg_Analysis!$B$36*C21</f>
        <v>139490.40787623066</v>
      </c>
    </row>
    <row r="22" spans="1:7" x14ac:dyDescent="0.3">
      <c r="A22" s="7" t="s">
        <v>100</v>
      </c>
      <c r="B22" s="7" t="s">
        <v>85</v>
      </c>
      <c r="C22" s="6">
        <v>27200</v>
      </c>
      <c r="D22" s="6">
        <v>151160</v>
      </c>
      <c r="E22" s="7"/>
      <c r="F22" s="35">
        <f>Outlier_Influence_Reg_Analysis!$C$33+Outlier_Influence_Reg_Analysis!$B$33*C22</f>
        <v>222477.08004923604</v>
      </c>
      <c r="G22" s="26">
        <f>Outlier_Influence_Reg_Analysis!$B$37+Outlier_Influence_Reg_Analysis!$B$36*C22</f>
        <v>149479.54992967652</v>
      </c>
    </row>
    <row r="23" spans="1:7" x14ac:dyDescent="0.3">
      <c r="A23" s="7" t="s">
        <v>101</v>
      </c>
      <c r="B23" s="7" t="s">
        <v>85</v>
      </c>
      <c r="C23" s="6">
        <v>9000</v>
      </c>
      <c r="D23" s="6">
        <v>78900</v>
      </c>
      <c r="E23" s="7"/>
      <c r="F23" s="35">
        <f>Outlier_Influence_Reg_Analysis!$C$33+Outlier_Influence_Reg_Analysis!$B$33*C23</f>
        <v>15404.372770755333</v>
      </c>
      <c r="G23" s="26">
        <f>Outlier_Influence_Reg_Analysis!$B$37+Outlier_Influence_Reg_Analysis!$B$36*C23</f>
        <v>79555.555555555533</v>
      </c>
    </row>
    <row r="24" spans="1:7" x14ac:dyDescent="0.3">
      <c r="A24" s="7" t="s">
        <v>102</v>
      </c>
      <c r="B24" s="7" t="s">
        <v>85</v>
      </c>
      <c r="C24" s="6">
        <v>11600</v>
      </c>
      <c r="D24" s="6">
        <v>90680</v>
      </c>
      <c r="E24" s="7"/>
      <c r="F24" s="35">
        <f>Outlier_Influence_Reg_Analysis!$C$33+Outlier_Influence_Reg_Analysis!$B$33*C24</f>
        <v>44986.188096252561</v>
      </c>
      <c r="G24" s="26">
        <f>Outlier_Influence_Reg_Analysis!$B$37+Outlier_Influence_Reg_Analysis!$B$36*C24</f>
        <v>89544.697609001392</v>
      </c>
    </row>
    <row r="25" spans="1:7" x14ac:dyDescent="0.3">
      <c r="A25" s="7" t="s">
        <v>103</v>
      </c>
      <c r="B25" s="7" t="s">
        <v>85</v>
      </c>
      <c r="C25" s="6">
        <v>14200</v>
      </c>
      <c r="D25" s="6">
        <v>97460</v>
      </c>
      <c r="E25" s="7"/>
      <c r="F25" s="35">
        <f>Outlier_Influence_Reg_Analysis!$C$33+Outlier_Influence_Reg_Analysis!$B$33*C25</f>
        <v>74568.003421749803</v>
      </c>
      <c r="G25" s="26">
        <f>Outlier_Influence_Reg_Analysis!$B$37+Outlier_Influence_Reg_Analysis!$B$36*C25</f>
        <v>99533.839662447252</v>
      </c>
    </row>
    <row r="26" spans="1:7" x14ac:dyDescent="0.3">
      <c r="A26" s="7" t="s">
        <v>104</v>
      </c>
      <c r="B26" s="7" t="s">
        <v>85</v>
      </c>
      <c r="C26" s="6">
        <v>16800</v>
      </c>
      <c r="D26" s="6">
        <v>111040</v>
      </c>
      <c r="E26" s="7"/>
      <c r="F26" s="35">
        <f>Outlier_Influence_Reg_Analysis!$C$33+Outlier_Influence_Reg_Analysis!$B$33*C26</f>
        <v>104149.81874724705</v>
      </c>
      <c r="G26" s="26">
        <f>Outlier_Influence_Reg_Analysis!$B$37+Outlier_Influence_Reg_Analysis!$B$36*C26</f>
        <v>109522.98171589311</v>
      </c>
    </row>
    <row r="27" spans="1:7" x14ac:dyDescent="0.3">
      <c r="A27" s="7" t="s">
        <v>105</v>
      </c>
      <c r="B27" s="7" t="s">
        <v>85</v>
      </c>
      <c r="C27" s="6">
        <v>19400</v>
      </c>
      <c r="D27" s="6">
        <v>118820</v>
      </c>
      <c r="E27" s="7"/>
      <c r="F27" s="35">
        <f>Outlier_Influence_Reg_Analysis!$C$33+Outlier_Influence_Reg_Analysis!$B$33*C27</f>
        <v>133731.63407274429</v>
      </c>
      <c r="G27" s="26">
        <f>Outlier_Influence_Reg_Analysis!$B$37+Outlier_Influence_Reg_Analysis!$B$36*C27</f>
        <v>119512.12376933896</v>
      </c>
    </row>
    <row r="28" spans="1:7" x14ac:dyDescent="0.3">
      <c r="A28" s="7" t="s">
        <v>106</v>
      </c>
      <c r="B28" s="7" t="s">
        <v>107</v>
      </c>
      <c r="C28" s="6">
        <v>105000</v>
      </c>
      <c r="D28" s="6">
        <v>1180000</v>
      </c>
      <c r="E28" s="7"/>
      <c r="F28" s="35">
        <f>Outlier_Influence_Reg_Analysis!$C$33+Outlier_Influence_Reg_Analysis!$B$33*C28</f>
        <v>1107656.0155583457</v>
      </c>
      <c r="G28" s="26">
        <f>Outlier_Influence_Reg_Analysis!$B$37+Outlier_Influence_Reg_Analysis!$B$36*C28</f>
        <v>448385.41599047941</v>
      </c>
    </row>
    <row r="29" spans="1:7" x14ac:dyDescent="0.3">
      <c r="A29" s="7" t="s">
        <v>108</v>
      </c>
      <c r="B29" s="7" t="s">
        <v>85</v>
      </c>
      <c r="C29" s="6">
        <v>24600</v>
      </c>
      <c r="D29" s="6">
        <v>138180</v>
      </c>
      <c r="E29" s="7"/>
      <c r="F29" s="35">
        <f>Outlier_Influence_Reg_Analysis!$C$33+Outlier_Influence_Reg_Analysis!$B$33*C29</f>
        <v>192895.2647237388</v>
      </c>
      <c r="G29" s="26">
        <f>Outlier_Influence_Reg_Analysis!$B$37+Outlier_Influence_Reg_Analysis!$B$36*C29</f>
        <v>139490.40787623066</v>
      </c>
    </row>
    <row r="30" spans="1:7" x14ac:dyDescent="0.3">
      <c r="A30" s="7" t="s">
        <v>109</v>
      </c>
      <c r="B30" s="7" t="s">
        <v>85</v>
      </c>
      <c r="C30" s="6">
        <v>27200</v>
      </c>
      <c r="D30" s="6">
        <v>149960</v>
      </c>
      <c r="E30" s="7"/>
      <c r="F30" s="35">
        <f>Outlier_Influence_Reg_Analysis!$C$33+Outlier_Influence_Reg_Analysis!$B$33*C30</f>
        <v>222477.08004923604</v>
      </c>
      <c r="G30" s="26">
        <f>Outlier_Influence_Reg_Analysis!$B$37+Outlier_Influence_Reg_Analysis!$B$36*C30</f>
        <v>149479.54992967652</v>
      </c>
    </row>
    <row r="33" spans="1:2" ht="15.6" x14ac:dyDescent="0.3">
      <c r="A33" s="12" t="s">
        <v>215</v>
      </c>
    </row>
    <row r="35" spans="1:2" x14ac:dyDescent="0.3">
      <c r="A35" s="13" t="s">
        <v>64</v>
      </c>
      <c r="B35" s="24" t="s">
        <v>326</v>
      </c>
    </row>
    <row r="36" spans="1:2" ht="28.8" x14ac:dyDescent="0.3">
      <c r="A36" s="13" t="s">
        <v>216</v>
      </c>
      <c r="B36" s="24" t="s">
        <v>327</v>
      </c>
    </row>
    <row r="37" spans="1:2" x14ac:dyDescent="0.3">
      <c r="A37" s="13" t="s">
        <v>217</v>
      </c>
      <c r="B37" s="24" t="s">
        <v>328</v>
      </c>
    </row>
    <row r="38" spans="1:2" ht="28.8" x14ac:dyDescent="0.3">
      <c r="A38" s="13" t="s">
        <v>306</v>
      </c>
      <c r="B38" s="24" t="str">
        <f>"For standard campaigns, each additional $1,000 of marketing spend is associated with approximately "&amp;TEXT(Outlier_Influence_Reg_Analysis!$B$36*1000,"$#,##0")&amp;" higher revenue."</f>
        <v>For standard campaigns, each additional $1,000 of marketing spend is associated with approximately $3,842 higher revenue.</v>
      </c>
    </row>
    <row r="39" spans="1:2" ht="28.8" x14ac:dyDescent="0.3">
      <c r="A39" s="13" t="s">
        <v>307</v>
      </c>
      <c r="B39" s="24" t="str">
        <f>"The pooled model's typical error is "&amp;TEXT(Outlier_Influence_Reg_Analysis!$B$10,"$#,##0")&amp;", compared with "&amp;TEXT(Outlier_Influence_Reg_Analysis!$B$14,"$#,##0")&amp;" for the standard-only model. Predictions from both equations are shown in F:G."</f>
        <v>The pooled model's typical error is $49,072, compared with $1,524 for the standard-only model. Predictions from both equations are shown in F:G.</v>
      </c>
    </row>
    <row r="40" spans="1:2" ht="28.8" x14ac:dyDescent="0.3">
      <c r="A40" s="13" t="s">
        <v>220</v>
      </c>
      <c r="B40" s="24" t="str">
        <f>"The enterprise observation changes the slope by "&amp;TEXT(Outlier_Influence_Reg_Analysis!$B$20,"0%")&amp;" and increases standard-campaign MAE from "&amp;TEXT(Outlier_Influence_Reg_Analysis!$B$22,"$#,##0")&amp;" to "&amp;TEXT(Outlier_Influence_Reg_Analysis!$B$21,"$#,##0")&amp;" when one pooled equation is used."</f>
        <v>The enterprise observation changes the slope by 196% and increases standard-campaign MAE from $1,304 to $39,729 when one pooled equation is used.</v>
      </c>
    </row>
    <row r="41" spans="1:2" ht="28.8" x14ac:dyDescent="0.3">
      <c r="A41" s="13" t="s">
        <v>271</v>
      </c>
      <c r="B41" s="24" t="str">
        <f>"Campaign 22 has leverage of "&amp;TEXT(Outlier_Influence_Reg_Analysis!$B$18,"0.00")&amp;" and Cook's distance of "&amp;TEXT(Outlier_Influence_Reg_Analysis!$B$19,"0.0")&amp;", indicating that it dominates the pooled regression. There is only one enterprise observation, so enterprise prediction reliability cannot be validated."</f>
        <v>Campaign 22 has leverage of 0.90 and Cook's distance of 100.2, indicating that it dominates the pooled regression. There is only one enterprise observation, so enterprise prediction reliability cannot be validated.</v>
      </c>
    </row>
    <row r="42" spans="1:2" ht="43.8" thickBot="1" x14ac:dyDescent="0.35">
      <c r="A42" s="13" t="s">
        <v>223</v>
      </c>
      <c r="B42" s="24" t="s">
        <v>329</v>
      </c>
    </row>
    <row r="43" spans="1:2" ht="15" thickBot="1" x14ac:dyDescent="0.35">
      <c r="A43" s="13" t="s">
        <v>224</v>
      </c>
      <c r="B43" s="38" t="s">
        <v>57</v>
      </c>
    </row>
    <row r="44" spans="1:2" x14ac:dyDescent="0.3">
      <c r="A44" s="13" t="s">
        <v>225</v>
      </c>
      <c r="B44" s="24" t="s">
        <v>330</v>
      </c>
    </row>
  </sheetData>
  <autoFilter ref="A6:D30" xr:uid="{00000000-0009-0000-0000-000005000000}"/>
  <mergeCells count="4">
    <mergeCell ref="A2:F2"/>
    <mergeCell ref="B3:D3"/>
    <mergeCell ref="A1:F1"/>
    <mergeCell ref="B4:D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A039-45D1-4429-ACF7-4E4A6F05591E}">
  <sheetPr>
    <tabColor theme="9"/>
  </sheetPr>
  <dimension ref="A1:G50"/>
  <sheetViews>
    <sheetView workbookViewId="0">
      <selection activeCell="A16" sqref="A16"/>
    </sheetView>
  </sheetViews>
  <sheetFormatPr defaultRowHeight="14.4" x14ac:dyDescent="0.3"/>
  <cols>
    <col min="1" max="1" width="29.6640625" customWidth="1"/>
    <col min="2" max="2" width="33.33203125" customWidth="1"/>
    <col min="3" max="3" width="51.88671875" customWidth="1"/>
    <col min="4" max="5" width="23.109375" customWidth="1"/>
    <col min="6" max="7" width="52.77734375" customWidth="1"/>
  </cols>
  <sheetData>
    <row r="1" spans="1:2" ht="18" x14ac:dyDescent="0.35">
      <c r="A1" s="14" t="s">
        <v>331</v>
      </c>
    </row>
    <row r="3" spans="1:2" x14ac:dyDescent="0.3">
      <c r="A3" s="15" t="s">
        <v>312</v>
      </c>
    </row>
    <row r="4" spans="1:2" x14ac:dyDescent="0.3">
      <c r="A4" s="13" t="s">
        <v>228</v>
      </c>
      <c r="B4" t="s">
        <v>83</v>
      </c>
    </row>
    <row r="5" spans="1:2" x14ac:dyDescent="0.3">
      <c r="A5" s="13" t="s">
        <v>229</v>
      </c>
      <c r="B5" t="s">
        <v>332</v>
      </c>
    </row>
    <row r="6" spans="1:2" x14ac:dyDescent="0.3">
      <c r="A6" s="13" t="s">
        <v>231</v>
      </c>
      <c r="B6" t="s">
        <v>69</v>
      </c>
    </row>
    <row r="7" spans="1:2" x14ac:dyDescent="0.3">
      <c r="A7" s="13" t="s">
        <v>333</v>
      </c>
      <c r="B7" s="16">
        <f>COUNT(Outlier_Influence!C7:C30)</f>
        <v>24</v>
      </c>
    </row>
    <row r="8" spans="1:2" x14ac:dyDescent="0.3">
      <c r="A8" s="13" t="s">
        <v>334</v>
      </c>
      <c r="B8" s="17">
        <f>RSQ(Outlier_Influence!D7:D30,Outlier_Influence!C7:C30)</f>
        <v>0.95191231807549315</v>
      </c>
    </row>
    <row r="9" spans="1:2" x14ac:dyDescent="0.3">
      <c r="A9" s="13" t="s">
        <v>335</v>
      </c>
      <c r="B9" s="17">
        <f>1-(1-B8)*(B7-1)/(B7-2)</f>
        <v>0.9497265143516519</v>
      </c>
    </row>
    <row r="10" spans="1:2" x14ac:dyDescent="0.3">
      <c r="A10" s="13" t="s">
        <v>336</v>
      </c>
      <c r="B10" s="26">
        <f>STEYX(Outlier_Influence!D7:D30,Outlier_Influence!C7:C30)</f>
        <v>49071.6960798332</v>
      </c>
    </row>
    <row r="11" spans="1:2" x14ac:dyDescent="0.3">
      <c r="A11" s="13" t="s">
        <v>337</v>
      </c>
      <c r="B11" s="16">
        <v>23</v>
      </c>
    </row>
    <row r="12" spans="1:2" x14ac:dyDescent="0.3">
      <c r="A12" s="13" t="s">
        <v>338</v>
      </c>
      <c r="B12" s="17">
        <v>0.99606239283320519</v>
      </c>
    </row>
    <row r="13" spans="1:2" x14ac:dyDescent="0.3">
      <c r="A13" s="13" t="s">
        <v>339</v>
      </c>
      <c r="B13" s="17">
        <f>1-(1-B12)*(B11-1)/(B11-2)</f>
        <v>0.99587488773002453</v>
      </c>
    </row>
    <row r="14" spans="1:2" x14ac:dyDescent="0.3">
      <c r="A14" s="13" t="s">
        <v>340</v>
      </c>
      <c r="B14" s="26">
        <v>1524.0258787535627</v>
      </c>
    </row>
    <row r="15" spans="1:2" ht="57.6" x14ac:dyDescent="0.3">
      <c r="A15" s="13" t="s">
        <v>236</v>
      </c>
      <c r="B15" s="24" t="s">
        <v>341</v>
      </c>
    </row>
    <row r="16" spans="1:2" x14ac:dyDescent="0.3">
      <c r="A16" s="13" t="s">
        <v>224</v>
      </c>
      <c r="B16" s="39" t="s">
        <v>57</v>
      </c>
    </row>
    <row r="18" spans="1:7" x14ac:dyDescent="0.3">
      <c r="A18" s="13" t="s">
        <v>342</v>
      </c>
      <c r="B18" s="21">
        <v>0.90111735601936449</v>
      </c>
    </row>
    <row r="19" spans="1:7" x14ac:dyDescent="0.3">
      <c r="A19" s="13" t="s">
        <v>343</v>
      </c>
      <c r="B19" s="36">
        <v>100.1506862068875</v>
      </c>
    </row>
    <row r="20" spans="1:7" x14ac:dyDescent="0.3">
      <c r="A20" s="13" t="s">
        <v>344</v>
      </c>
      <c r="B20" s="37">
        <v>1.9613970015866076</v>
      </c>
    </row>
    <row r="21" spans="1:7" x14ac:dyDescent="0.3">
      <c r="A21" s="13" t="s">
        <v>345</v>
      </c>
      <c r="B21" s="26">
        <v>39729.290705462008</v>
      </c>
    </row>
    <row r="22" spans="1:7" x14ac:dyDescent="0.3">
      <c r="A22" s="13" t="s">
        <v>346</v>
      </c>
      <c r="B22" s="26">
        <v>1303.9809209319349</v>
      </c>
    </row>
    <row r="25" spans="1:7" x14ac:dyDescent="0.3">
      <c r="A25" s="15" t="s">
        <v>314</v>
      </c>
    </row>
    <row r="26" spans="1:7" x14ac:dyDescent="0.3">
      <c r="A26" s="13" t="s">
        <v>238</v>
      </c>
      <c r="B26" s="13" t="s">
        <v>239</v>
      </c>
      <c r="C26" s="13" t="s">
        <v>240</v>
      </c>
      <c r="D26" s="13" t="s">
        <v>241</v>
      </c>
      <c r="E26" s="13" t="s">
        <v>242</v>
      </c>
      <c r="F26" s="13" t="s">
        <v>279</v>
      </c>
      <c r="G26" s="13" t="s">
        <v>244</v>
      </c>
    </row>
    <row r="27" spans="1:7" ht="28.8" x14ac:dyDescent="0.3">
      <c r="A27">
        <v>1</v>
      </c>
      <c r="B27" t="s">
        <v>347</v>
      </c>
      <c r="C27" t="s">
        <v>245</v>
      </c>
      <c r="D27" s="18">
        <v>3.8419777128637902</v>
      </c>
      <c r="E27" t="s">
        <v>348</v>
      </c>
      <c r="F27" s="24" t="str">
        <f>"Each additional $1,000 is associated with approximately "&amp;TEXT(D27*1000,"$#,##0")&amp;" higher revenue for standard campaigns."</f>
        <v>Each additional $1,000 is associated with approximately $3,842 higher revenue for standard campaigns.</v>
      </c>
      <c r="G27" s="24" t="s">
        <v>349</v>
      </c>
    </row>
    <row r="28" spans="1:7" ht="28.8" x14ac:dyDescent="0.3">
      <c r="A28">
        <v>2</v>
      </c>
      <c r="B28" t="s">
        <v>350</v>
      </c>
      <c r="C28" t="s">
        <v>245</v>
      </c>
      <c r="D28" s="18">
        <f>B33</f>
        <v>11.377621279037401</v>
      </c>
      <c r="E28" t="s">
        <v>351</v>
      </c>
      <c r="F28" s="24" t="str">
        <f>"The pooled coefficient implies "&amp;TEXT(D28*1000,"$#,##0")&amp;" per additional $1,000, but it is dominated by one enterprise campaign."</f>
        <v>The pooled coefficient implies $11,378 per additional $1,000, but it is dominated by one enterprise campaign.</v>
      </c>
      <c r="G28" s="24" t="s">
        <v>352</v>
      </c>
    </row>
    <row r="31" spans="1:7" x14ac:dyDescent="0.3">
      <c r="A31" s="15" t="s">
        <v>353</v>
      </c>
    </row>
    <row r="32" spans="1:7" x14ac:dyDescent="0.3">
      <c r="A32" s="13" t="s">
        <v>354</v>
      </c>
      <c r="B32" s="13" t="s">
        <v>355</v>
      </c>
      <c r="C32" s="13" t="s">
        <v>255</v>
      </c>
      <c r="D32" s="13" t="s">
        <v>233</v>
      </c>
      <c r="E32" s="13" t="s">
        <v>356</v>
      </c>
    </row>
    <row r="33" spans="1:5" x14ac:dyDescent="0.3">
      <c r="A33" t="s">
        <v>357</v>
      </c>
      <c r="B33" s="18">
        <f>SLOPE(Outlier_Influence!D7:D30,Outlier_Influence!C7:C30)</f>
        <v>11.377621279037401</v>
      </c>
      <c r="C33" s="26">
        <f>INTERCEPT(Outlier_Influence!D7:D30,Outlier_Influence!C7:C30)</f>
        <v>-86994.218740581273</v>
      </c>
      <c r="D33" s="17">
        <f>RSQ(Outlier_Influence!D7:D30,Outlier_Influence!C7:C30)</f>
        <v>0.95191231807549315</v>
      </c>
      <c r="E33" s="26">
        <f>STEYX(Outlier_Influence!D7:D30,Outlier_Influence!C7:C30)</f>
        <v>49071.6960798332</v>
      </c>
    </row>
    <row r="36" spans="1:5" x14ac:dyDescent="0.3">
      <c r="A36" t="s">
        <v>358</v>
      </c>
      <c r="B36" s="18">
        <v>3.8419777128637902</v>
      </c>
    </row>
    <row r="37" spans="1:5" x14ac:dyDescent="0.3">
      <c r="A37" t="s">
        <v>359</v>
      </c>
      <c r="B37" s="26">
        <v>44977.756139781428</v>
      </c>
    </row>
    <row r="39" spans="1:5" x14ac:dyDescent="0.3">
      <c r="A39" s="15" t="s">
        <v>316</v>
      </c>
    </row>
    <row r="40" spans="1:5" x14ac:dyDescent="0.3">
      <c r="A40" s="13" t="s">
        <v>247</v>
      </c>
      <c r="B40" s="13" t="s">
        <v>248</v>
      </c>
      <c r="C40" s="13" t="s">
        <v>284</v>
      </c>
    </row>
    <row r="41" spans="1:5" ht="28.8" x14ac:dyDescent="0.3">
      <c r="A41" t="s">
        <v>249</v>
      </c>
      <c r="B41" t="s">
        <v>254</v>
      </c>
      <c r="C41" s="24" t="s">
        <v>360</v>
      </c>
    </row>
    <row r="42" spans="1:5" ht="28.8" x14ac:dyDescent="0.3">
      <c r="A42" t="s">
        <v>251</v>
      </c>
      <c r="B42" t="s">
        <v>254</v>
      </c>
      <c r="C42" s="24" t="s">
        <v>361</v>
      </c>
    </row>
    <row r="43" spans="1:5" x14ac:dyDescent="0.3">
      <c r="A43" t="s">
        <v>29</v>
      </c>
      <c r="B43" t="s">
        <v>250</v>
      </c>
      <c r="C43" s="24" t="s">
        <v>362</v>
      </c>
    </row>
    <row r="44" spans="1:5" ht="28.8" x14ac:dyDescent="0.3">
      <c r="A44" t="s">
        <v>222</v>
      </c>
      <c r="B44" t="s">
        <v>254</v>
      </c>
      <c r="C44" s="24" t="s">
        <v>363</v>
      </c>
    </row>
    <row r="45" spans="1:5" ht="28.8" x14ac:dyDescent="0.3">
      <c r="A45" t="s">
        <v>252</v>
      </c>
      <c r="B45" t="s">
        <v>250</v>
      </c>
      <c r="C45" s="24" t="s">
        <v>364</v>
      </c>
    </row>
    <row r="48" spans="1:5" x14ac:dyDescent="0.3">
      <c r="A48" s="15" t="s">
        <v>365</v>
      </c>
    </row>
    <row r="49" spans="1:5" x14ac:dyDescent="0.3">
      <c r="A49" t="s">
        <v>81</v>
      </c>
      <c r="B49" t="s">
        <v>366</v>
      </c>
      <c r="C49" t="s">
        <v>367</v>
      </c>
      <c r="D49" t="s">
        <v>368</v>
      </c>
      <c r="E49" t="s">
        <v>369</v>
      </c>
    </row>
    <row r="50" spans="1:5" x14ac:dyDescent="0.3">
      <c r="A50" t="str">
        <f>Outlier_Influence!A28</f>
        <v>Campaign 22</v>
      </c>
      <c r="B50" s="28">
        <f>Outlier_Influence!C28</f>
        <v>105000</v>
      </c>
      <c r="C50" s="28">
        <f>Outlier_Influence!D28</f>
        <v>1180000</v>
      </c>
      <c r="D50" s="28">
        <f>$B$37+$B$36*B50</f>
        <v>448385.41599047941</v>
      </c>
      <c r="E50" s="26">
        <f>C50-D50</f>
        <v>731614.58400952059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H51"/>
  <sheetViews>
    <sheetView showGridLines="0" workbookViewId="0">
      <pane ySplit="6" topLeftCell="A38" activePane="bottomLeft" state="frozen"/>
      <selection pane="bottomLeft" activeCell="A49" sqref="A49"/>
    </sheetView>
  </sheetViews>
  <sheetFormatPr defaultRowHeight="14.4" x14ac:dyDescent="0.3"/>
  <cols>
    <col min="1" max="1" width="26.88671875" customWidth="1"/>
    <col min="2" max="2" width="100" customWidth="1"/>
    <col min="3" max="3" width="25.21875" bestFit="1" customWidth="1"/>
    <col min="4" max="4" width="26.77734375" bestFit="1" customWidth="1"/>
    <col min="5" max="5" width="9.6640625" bestFit="1" customWidth="1"/>
    <col min="7" max="8" width="21.33203125" customWidth="1"/>
  </cols>
  <sheetData>
    <row r="1" spans="1:8" ht="21" x14ac:dyDescent="0.3">
      <c r="A1" s="57" t="s">
        <v>110</v>
      </c>
      <c r="B1" s="58"/>
      <c r="C1" s="58"/>
      <c r="D1" s="58"/>
      <c r="E1" s="58"/>
      <c r="F1" s="58"/>
    </row>
    <row r="2" spans="1:8" x14ac:dyDescent="0.3">
      <c r="A2" s="59" t="s">
        <v>63</v>
      </c>
      <c r="B2" s="58"/>
      <c r="C2" s="58"/>
      <c r="D2" s="58"/>
      <c r="E2" s="58"/>
      <c r="F2" s="58"/>
    </row>
    <row r="3" spans="1:8" x14ac:dyDescent="0.3">
      <c r="A3" s="4" t="s">
        <v>64</v>
      </c>
      <c r="B3" s="60" t="s">
        <v>111</v>
      </c>
      <c r="C3" s="61"/>
      <c r="D3" s="61"/>
      <c r="E3" s="61"/>
    </row>
    <row r="4" spans="1:8" x14ac:dyDescent="0.3">
      <c r="A4" s="4" t="s">
        <v>66</v>
      </c>
      <c r="B4" s="60" t="s">
        <v>112</v>
      </c>
      <c r="C4" s="61"/>
      <c r="D4" s="61"/>
      <c r="E4" s="61"/>
    </row>
    <row r="6" spans="1:8" ht="28.8" x14ac:dyDescent="0.3">
      <c r="A6" s="3" t="s">
        <v>113</v>
      </c>
      <c r="B6" s="3" t="s">
        <v>114</v>
      </c>
      <c r="C6" s="3" t="s">
        <v>115</v>
      </c>
      <c r="D6" s="3" t="s">
        <v>116</v>
      </c>
      <c r="E6" s="3" t="s">
        <v>70</v>
      </c>
      <c r="G6" s="27" t="s">
        <v>260</v>
      </c>
      <c r="H6" s="27" t="s">
        <v>261</v>
      </c>
    </row>
    <row r="7" spans="1:8" x14ac:dyDescent="0.3">
      <c r="A7" s="7" t="s">
        <v>117</v>
      </c>
      <c r="B7" s="6">
        <v>16000</v>
      </c>
      <c r="C7" s="11">
        <v>255</v>
      </c>
      <c r="D7" s="11">
        <v>501</v>
      </c>
      <c r="E7" s="6">
        <v>112000</v>
      </c>
      <c r="F7" s="7"/>
      <c r="G7" s="26">
        <f>Multicollinearity_Reg_Analysis!$B$37+Multicollinearity_Reg_Analysis!$B$34*B7+Multicollinearity_Reg_Analysis!$B$35*C7+Multicollinearity_Reg_Analysis!$B$36*D7</f>
        <v>112250.17503540328</v>
      </c>
      <c r="H7" s="26">
        <f>E7-G7</f>
        <v>-250.17503540328471</v>
      </c>
    </row>
    <row r="8" spans="1:8" x14ac:dyDescent="0.3">
      <c r="A8" s="7" t="s">
        <v>118</v>
      </c>
      <c r="B8" s="6">
        <v>17450</v>
      </c>
      <c r="C8" s="11">
        <v>283</v>
      </c>
      <c r="D8" s="11">
        <v>550</v>
      </c>
      <c r="E8" s="6">
        <v>119342</v>
      </c>
      <c r="F8" s="7"/>
      <c r="G8" s="26">
        <f>Multicollinearity_Reg_Analysis!$B$37+Multicollinearity_Reg_Analysis!$B$34*B8+Multicollinearity_Reg_Analysis!$B$35*C8+Multicollinearity_Reg_Analysis!$B$36*D8</f>
        <v>119213.74646146569</v>
      </c>
      <c r="H8" s="26">
        <f t="shared" ref="H8:H36" si="0">E8-G8</f>
        <v>128.25353853430715</v>
      </c>
    </row>
    <row r="9" spans="1:8" x14ac:dyDescent="0.3">
      <c r="A9" s="7" t="s">
        <v>119</v>
      </c>
      <c r="B9" s="6">
        <v>18900</v>
      </c>
      <c r="C9" s="11">
        <v>305</v>
      </c>
      <c r="D9" s="11">
        <v>596</v>
      </c>
      <c r="E9" s="6">
        <v>121385</v>
      </c>
      <c r="F9" s="7"/>
      <c r="G9" s="26">
        <f>Multicollinearity_Reg_Analysis!$B$37+Multicollinearity_Reg_Analysis!$B$34*B9+Multicollinearity_Reg_Analysis!$B$35*C9+Multicollinearity_Reg_Analysis!$B$36*D9</f>
        <v>122180.68756181256</v>
      </c>
      <c r="H9" s="26">
        <f t="shared" si="0"/>
        <v>-795.68756181256322</v>
      </c>
    </row>
    <row r="10" spans="1:8" x14ac:dyDescent="0.3">
      <c r="A10" s="7" t="s">
        <v>120</v>
      </c>
      <c r="B10" s="6">
        <v>19600</v>
      </c>
      <c r="C10" s="11">
        <v>317</v>
      </c>
      <c r="D10" s="11">
        <v>617</v>
      </c>
      <c r="E10" s="6">
        <v>125740</v>
      </c>
      <c r="F10" s="7"/>
      <c r="G10" s="26">
        <f>Multicollinearity_Reg_Analysis!$B$37+Multicollinearity_Reg_Analysis!$B$34*B10+Multicollinearity_Reg_Analysis!$B$35*C10+Multicollinearity_Reg_Analysis!$B$36*D10</f>
        <v>124467.27425394781</v>
      </c>
      <c r="H10" s="26">
        <f t="shared" si="0"/>
        <v>1272.7257460521942</v>
      </c>
    </row>
    <row r="11" spans="1:8" x14ac:dyDescent="0.3">
      <c r="A11" s="7" t="s">
        <v>121</v>
      </c>
      <c r="B11" s="6">
        <v>21050</v>
      </c>
      <c r="C11" s="11">
        <v>338</v>
      </c>
      <c r="D11" s="11">
        <v>662</v>
      </c>
      <c r="E11" s="6">
        <v>126882</v>
      </c>
      <c r="F11" s="7"/>
      <c r="G11" s="26">
        <f>Multicollinearity_Reg_Analysis!$B$37+Multicollinearity_Reg_Analysis!$B$34*B11+Multicollinearity_Reg_Analysis!$B$35*C11+Multicollinearity_Reg_Analysis!$B$36*D11</f>
        <v>126751.10699542354</v>
      </c>
      <c r="H11" s="26">
        <f t="shared" si="0"/>
        <v>130.89300457645732</v>
      </c>
    </row>
    <row r="12" spans="1:8" x14ac:dyDescent="0.3">
      <c r="A12" s="7" t="s">
        <v>122</v>
      </c>
      <c r="B12" s="6">
        <v>22500</v>
      </c>
      <c r="C12" s="11">
        <v>360</v>
      </c>
      <c r="D12" s="11">
        <v>699</v>
      </c>
      <c r="E12" s="6">
        <v>129225</v>
      </c>
      <c r="F12" s="7"/>
      <c r="G12" s="26">
        <f>Multicollinearity_Reg_Analysis!$B$37+Multicollinearity_Reg_Analysis!$B$34*B12+Multicollinearity_Reg_Analysis!$B$35*C12+Multicollinearity_Reg_Analysis!$B$36*D12</f>
        <v>129411.9886132369</v>
      </c>
      <c r="H12" s="26">
        <f t="shared" si="0"/>
        <v>-186.98861323689925</v>
      </c>
    </row>
    <row r="13" spans="1:8" x14ac:dyDescent="0.3">
      <c r="A13" s="7" t="s">
        <v>123</v>
      </c>
      <c r="B13" s="6">
        <v>23200</v>
      </c>
      <c r="C13" s="11">
        <v>376</v>
      </c>
      <c r="D13" s="11">
        <v>736</v>
      </c>
      <c r="E13" s="6">
        <v>134580</v>
      </c>
      <c r="F13" s="7"/>
      <c r="G13" s="26">
        <f>Multicollinearity_Reg_Analysis!$B$37+Multicollinearity_Reg_Analysis!$B$34*B13+Multicollinearity_Reg_Analysis!$B$35*C13+Multicollinearity_Reg_Analysis!$B$36*D13</f>
        <v>134839.08805090134</v>
      </c>
      <c r="H13" s="26">
        <f t="shared" si="0"/>
        <v>-259.08805090133683</v>
      </c>
    </row>
    <row r="14" spans="1:8" x14ac:dyDescent="0.3">
      <c r="A14" s="7" t="s">
        <v>124</v>
      </c>
      <c r="B14" s="6">
        <v>24650</v>
      </c>
      <c r="C14" s="11">
        <v>398</v>
      </c>
      <c r="D14" s="11">
        <v>774</v>
      </c>
      <c r="E14" s="6">
        <v>136622</v>
      </c>
      <c r="F14" s="7"/>
      <c r="G14" s="26">
        <f>Multicollinearity_Reg_Analysis!$B$37+Multicollinearity_Reg_Analysis!$B$34*B14+Multicollinearity_Reg_Analysis!$B$35*C14+Multicollinearity_Reg_Analysis!$B$36*D14</f>
        <v>137533.97627788506</v>
      </c>
      <c r="H14" s="26">
        <f t="shared" si="0"/>
        <v>-911.97627788505633</v>
      </c>
    </row>
    <row r="15" spans="1:8" x14ac:dyDescent="0.3">
      <c r="A15" s="7" t="s">
        <v>125</v>
      </c>
      <c r="B15" s="6">
        <v>26100</v>
      </c>
      <c r="C15" s="11">
        <v>422</v>
      </c>
      <c r="D15" s="11">
        <v>827</v>
      </c>
      <c r="E15" s="6">
        <v>142965</v>
      </c>
      <c r="F15" s="7"/>
      <c r="G15" s="26">
        <f>Multicollinearity_Reg_Analysis!$B$37+Multicollinearity_Reg_Analysis!$B$34*B15+Multicollinearity_Reg_Analysis!$B$35*C15+Multicollinearity_Reg_Analysis!$B$36*D15</f>
        <v>142037.16714182612</v>
      </c>
      <c r="H15" s="26">
        <f t="shared" si="0"/>
        <v>927.83285817387514</v>
      </c>
    </row>
    <row r="16" spans="1:8" x14ac:dyDescent="0.3">
      <c r="A16" s="7" t="s">
        <v>126</v>
      </c>
      <c r="B16" s="6">
        <v>26800</v>
      </c>
      <c r="C16" s="11">
        <v>430</v>
      </c>
      <c r="D16" s="11">
        <v>836</v>
      </c>
      <c r="E16" s="6">
        <v>142120</v>
      </c>
      <c r="F16" s="7"/>
      <c r="G16" s="26">
        <f>Multicollinearity_Reg_Analysis!$B$37+Multicollinearity_Reg_Analysis!$B$34*B16+Multicollinearity_Reg_Analysis!$B$35*C16+Multicollinearity_Reg_Analysis!$B$36*D16</f>
        <v>141319.26752511371</v>
      </c>
      <c r="H16" s="26">
        <f t="shared" si="0"/>
        <v>800.7324748862884</v>
      </c>
    </row>
    <row r="17" spans="1:8" x14ac:dyDescent="0.3">
      <c r="A17" s="7" t="s">
        <v>127</v>
      </c>
      <c r="B17" s="6">
        <v>28250</v>
      </c>
      <c r="C17" s="11">
        <v>453</v>
      </c>
      <c r="D17" s="11">
        <v>885</v>
      </c>
      <c r="E17" s="6">
        <v>144462</v>
      </c>
      <c r="F17" s="7"/>
      <c r="G17" s="26">
        <f>Multicollinearity_Reg_Analysis!$B$37+Multicollinearity_Reg_Analysis!$B$34*B17+Multicollinearity_Reg_Analysis!$B$35*C17+Multicollinearity_Reg_Analysis!$B$36*D17</f>
        <v>145037.33020267249</v>
      </c>
      <c r="H17" s="26">
        <f t="shared" si="0"/>
        <v>-575.33020267248503</v>
      </c>
    </row>
    <row r="18" spans="1:8" x14ac:dyDescent="0.3">
      <c r="A18" s="7" t="s">
        <v>128</v>
      </c>
      <c r="B18" s="6">
        <v>29700</v>
      </c>
      <c r="C18" s="11">
        <v>481</v>
      </c>
      <c r="D18" s="11">
        <v>937</v>
      </c>
      <c r="E18" s="6">
        <v>151805</v>
      </c>
      <c r="F18" s="7"/>
      <c r="G18" s="26">
        <f>Multicollinearity_Reg_Analysis!$B$37+Multicollinearity_Reg_Analysis!$B$34*B18+Multicollinearity_Reg_Analysis!$B$35*C18+Multicollinearity_Reg_Analysis!$B$36*D18</f>
        <v>152102.92145624617</v>
      </c>
      <c r="H18" s="26">
        <f t="shared" si="0"/>
        <v>-297.92145624617115</v>
      </c>
    </row>
    <row r="19" spans="1:8" x14ac:dyDescent="0.3">
      <c r="A19" s="7" t="s">
        <v>129</v>
      </c>
      <c r="B19" s="6">
        <v>30400</v>
      </c>
      <c r="C19" s="11">
        <v>490</v>
      </c>
      <c r="D19" s="11">
        <v>960</v>
      </c>
      <c r="E19" s="6">
        <v>151860</v>
      </c>
      <c r="F19" s="7"/>
      <c r="G19" s="26">
        <f>Multicollinearity_Reg_Analysis!$B$37+Multicollinearity_Reg_Analysis!$B$34*B19+Multicollinearity_Reg_Analysis!$B$35*C19+Multicollinearity_Reg_Analysis!$B$36*D19</f>
        <v>152510.21611761994</v>
      </c>
      <c r="H19" s="26">
        <f t="shared" si="0"/>
        <v>-650.21611761994427</v>
      </c>
    </row>
    <row r="20" spans="1:8" x14ac:dyDescent="0.3">
      <c r="A20" s="7" t="s">
        <v>130</v>
      </c>
      <c r="B20" s="6">
        <v>31850</v>
      </c>
      <c r="C20" s="11">
        <v>515</v>
      </c>
      <c r="D20" s="11">
        <v>1001</v>
      </c>
      <c r="E20" s="6">
        <v>158202</v>
      </c>
      <c r="F20" s="7"/>
      <c r="G20" s="26">
        <f>Multicollinearity_Reg_Analysis!$B$37+Multicollinearity_Reg_Analysis!$B$34*B20+Multicollinearity_Reg_Analysis!$B$35*C20+Multicollinearity_Reg_Analysis!$B$36*D20</f>
        <v>157254.42942121701</v>
      </c>
      <c r="H20" s="26">
        <f t="shared" si="0"/>
        <v>947.57057878299383</v>
      </c>
    </row>
    <row r="21" spans="1:8" x14ac:dyDescent="0.3">
      <c r="A21" s="7" t="s">
        <v>131</v>
      </c>
      <c r="B21" s="6">
        <v>33300</v>
      </c>
      <c r="C21" s="11">
        <v>535</v>
      </c>
      <c r="D21" s="11">
        <v>1045</v>
      </c>
      <c r="E21" s="6">
        <v>159345</v>
      </c>
      <c r="F21" s="7"/>
      <c r="G21" s="26">
        <f>Multicollinearity_Reg_Analysis!$B$37+Multicollinearity_Reg_Analysis!$B$34*B21+Multicollinearity_Reg_Analysis!$B$35*C21+Multicollinearity_Reg_Analysis!$B$36*D21</f>
        <v>158855.15380382165</v>
      </c>
      <c r="H21" s="26">
        <f t="shared" si="0"/>
        <v>489.84619617834687</v>
      </c>
    </row>
    <row r="22" spans="1:8" x14ac:dyDescent="0.3">
      <c r="A22" s="7" t="s">
        <v>132</v>
      </c>
      <c r="B22" s="6">
        <v>34000</v>
      </c>
      <c r="C22" s="11">
        <v>545</v>
      </c>
      <c r="D22" s="11">
        <v>1063</v>
      </c>
      <c r="E22" s="6">
        <v>159700</v>
      </c>
      <c r="F22" s="7"/>
      <c r="G22" s="26">
        <f>Multicollinearity_Reg_Analysis!$B$37+Multicollinearity_Reg_Analysis!$B$34*B22+Multicollinearity_Reg_Analysis!$B$35*C22+Multicollinearity_Reg_Analysis!$B$36*D22</f>
        <v>159741.51716904424</v>
      </c>
      <c r="H22" s="26">
        <f t="shared" si="0"/>
        <v>-41.517169044236653</v>
      </c>
    </row>
    <row r="23" spans="1:8" x14ac:dyDescent="0.3">
      <c r="A23" s="7" t="s">
        <v>133</v>
      </c>
      <c r="B23" s="6">
        <v>35450</v>
      </c>
      <c r="C23" s="11">
        <v>574</v>
      </c>
      <c r="D23" s="11">
        <v>1123</v>
      </c>
      <c r="E23" s="6">
        <v>167042</v>
      </c>
      <c r="F23" s="7"/>
      <c r="G23" s="26">
        <f>Multicollinearity_Reg_Analysis!$B$37+Multicollinearity_Reg_Analysis!$B$34*B23+Multicollinearity_Reg_Analysis!$B$35*C23+Multicollinearity_Reg_Analysis!$B$36*D23</f>
        <v>167728.26304568179</v>
      </c>
      <c r="H23" s="26">
        <f t="shared" si="0"/>
        <v>-686.26304568178602</v>
      </c>
    </row>
    <row r="24" spans="1:8" x14ac:dyDescent="0.3">
      <c r="A24" s="7" t="s">
        <v>134</v>
      </c>
      <c r="B24" s="6">
        <v>36900</v>
      </c>
      <c r="C24" s="11">
        <v>595</v>
      </c>
      <c r="D24" s="11">
        <v>1158</v>
      </c>
      <c r="E24" s="6">
        <v>169085</v>
      </c>
      <c r="F24" s="7"/>
      <c r="G24" s="26">
        <f>Multicollinearity_Reg_Analysis!$B$37+Multicollinearity_Reg_Analysis!$B$34*B24+Multicollinearity_Reg_Analysis!$B$35*C24+Multicollinearity_Reg_Analysis!$B$36*D24</f>
        <v>169672.02969545359</v>
      </c>
      <c r="H24" s="26">
        <f t="shared" si="0"/>
        <v>-587.02969545358792</v>
      </c>
    </row>
    <row r="25" spans="1:8" x14ac:dyDescent="0.3">
      <c r="A25" s="7" t="s">
        <v>135</v>
      </c>
      <c r="B25" s="6">
        <v>37600</v>
      </c>
      <c r="C25" s="11">
        <v>607</v>
      </c>
      <c r="D25" s="11">
        <v>1187</v>
      </c>
      <c r="E25" s="6">
        <v>173440</v>
      </c>
      <c r="F25" s="7"/>
      <c r="G25" s="26">
        <f>Multicollinearity_Reg_Analysis!$B$37+Multicollinearity_Reg_Analysis!$B$34*B25+Multicollinearity_Reg_Analysis!$B$35*C25+Multicollinearity_Reg_Analysis!$B$36*D25</f>
        <v>172230.66926095192</v>
      </c>
      <c r="H25" s="26">
        <f t="shared" si="0"/>
        <v>1209.3307390480768</v>
      </c>
    </row>
    <row r="26" spans="1:8" x14ac:dyDescent="0.3">
      <c r="A26" s="7" t="s">
        <v>136</v>
      </c>
      <c r="B26" s="6">
        <v>39050</v>
      </c>
      <c r="C26" s="11">
        <v>628</v>
      </c>
      <c r="D26" s="11">
        <v>1223</v>
      </c>
      <c r="E26" s="6">
        <v>174582</v>
      </c>
      <c r="F26" s="7"/>
      <c r="G26" s="26">
        <f>Multicollinearity_Reg_Analysis!$B$37+Multicollinearity_Reg_Analysis!$B$34*B26+Multicollinearity_Reg_Analysis!$B$35*C26+Multicollinearity_Reg_Analysis!$B$36*D26</f>
        <v>174208.44251989416</v>
      </c>
      <c r="H26" s="26">
        <f t="shared" si="0"/>
        <v>373.5574801058392</v>
      </c>
    </row>
    <row r="27" spans="1:8" x14ac:dyDescent="0.3">
      <c r="A27" s="7" t="s">
        <v>137</v>
      </c>
      <c r="B27" s="6">
        <v>40500</v>
      </c>
      <c r="C27" s="11">
        <v>650</v>
      </c>
      <c r="D27" s="11">
        <v>1272</v>
      </c>
      <c r="E27" s="6">
        <v>176925</v>
      </c>
      <c r="F27" s="7"/>
      <c r="G27" s="26">
        <f>Multicollinearity_Reg_Analysis!$B$37+Multicollinearity_Reg_Analysis!$B$34*B27+Multicollinearity_Reg_Analysis!$B$35*C27+Multicollinearity_Reg_Analysis!$B$36*D27</f>
        <v>177277.40344775221</v>
      </c>
      <c r="H27" s="26">
        <f t="shared" si="0"/>
        <v>-352.40344775220728</v>
      </c>
    </row>
    <row r="28" spans="1:8" x14ac:dyDescent="0.3">
      <c r="A28" s="7" t="s">
        <v>138</v>
      </c>
      <c r="B28" s="6">
        <v>41200</v>
      </c>
      <c r="C28" s="11">
        <v>667</v>
      </c>
      <c r="D28" s="11">
        <v>1297</v>
      </c>
      <c r="E28" s="6">
        <v>182280</v>
      </c>
      <c r="F28" s="7"/>
      <c r="G28" s="26">
        <f>Multicollinearity_Reg_Analysis!$B$37+Multicollinearity_Reg_Analysis!$B$34*B28+Multicollinearity_Reg_Analysis!$B$35*C28+Multicollinearity_Reg_Analysis!$B$36*D28</f>
        <v>182945.52532507267</v>
      </c>
      <c r="H28" s="26">
        <f t="shared" si="0"/>
        <v>-665.52532507266733</v>
      </c>
    </row>
    <row r="29" spans="1:8" x14ac:dyDescent="0.3">
      <c r="A29" s="7" t="s">
        <v>139</v>
      </c>
      <c r="B29" s="6">
        <v>42650</v>
      </c>
      <c r="C29" s="11">
        <v>688</v>
      </c>
      <c r="D29" s="11">
        <v>1343</v>
      </c>
      <c r="E29" s="6">
        <v>184322</v>
      </c>
      <c r="F29" s="7"/>
      <c r="G29" s="26">
        <f>Multicollinearity_Reg_Analysis!$B$37+Multicollinearity_Reg_Analysis!$B$34*B29+Multicollinearity_Reg_Analysis!$B$35*C29+Multicollinearity_Reg_Analysis!$B$36*D29</f>
        <v>185263.3646757188</v>
      </c>
      <c r="H29" s="26">
        <f t="shared" si="0"/>
        <v>-941.36467571879621</v>
      </c>
    </row>
    <row r="30" spans="1:8" x14ac:dyDescent="0.3">
      <c r="A30" s="7" t="s">
        <v>140</v>
      </c>
      <c r="B30" s="6">
        <v>44100</v>
      </c>
      <c r="C30" s="11">
        <v>712</v>
      </c>
      <c r="D30" s="11">
        <v>1388</v>
      </c>
      <c r="E30" s="6">
        <v>190665</v>
      </c>
      <c r="F30" s="7"/>
      <c r="G30" s="26">
        <f>Multicollinearity_Reg_Analysis!$B$37+Multicollinearity_Reg_Analysis!$B$34*B30+Multicollinearity_Reg_Analysis!$B$35*C30+Multicollinearity_Reg_Analysis!$B$36*D30</f>
        <v>189494.50266629673</v>
      </c>
      <c r="H30" s="26">
        <f t="shared" si="0"/>
        <v>1170.4973337032716</v>
      </c>
    </row>
    <row r="31" spans="1:8" x14ac:dyDescent="0.3">
      <c r="A31" s="7" t="s">
        <v>141</v>
      </c>
      <c r="B31" s="6">
        <v>44800</v>
      </c>
      <c r="C31" s="11">
        <v>721</v>
      </c>
      <c r="D31" s="11">
        <v>1409</v>
      </c>
      <c r="E31" s="6">
        <v>189820</v>
      </c>
      <c r="F31" s="7"/>
      <c r="G31" s="26">
        <f>Multicollinearity_Reg_Analysis!$B$37+Multicollinearity_Reg_Analysis!$B$34*B31+Multicollinearity_Reg_Analysis!$B$35*C31+Multicollinearity_Reg_Analysis!$B$36*D31</f>
        <v>189833.78410932978</v>
      </c>
      <c r="H31" s="26">
        <f t="shared" si="0"/>
        <v>-13.784109329775674</v>
      </c>
    </row>
    <row r="32" spans="1:8" x14ac:dyDescent="0.3">
      <c r="A32" s="7" t="s">
        <v>142</v>
      </c>
      <c r="B32" s="6">
        <v>46250</v>
      </c>
      <c r="C32" s="11">
        <v>743</v>
      </c>
      <c r="D32" s="11">
        <v>1446</v>
      </c>
      <c r="E32" s="6">
        <v>192162</v>
      </c>
      <c r="F32" s="7"/>
      <c r="G32" s="26">
        <f>Multicollinearity_Reg_Analysis!$B$37+Multicollinearity_Reg_Analysis!$B$34*B32+Multicollinearity_Reg_Analysis!$B$35*C32+Multicollinearity_Reg_Analysis!$B$36*D32</f>
        <v>192494.66572714312</v>
      </c>
      <c r="H32" s="26">
        <f t="shared" si="0"/>
        <v>-332.66572714311769</v>
      </c>
    </row>
    <row r="33" spans="1:8" x14ac:dyDescent="0.3">
      <c r="A33" s="7" t="s">
        <v>143</v>
      </c>
      <c r="B33" s="6">
        <v>47700</v>
      </c>
      <c r="C33" s="11">
        <v>771</v>
      </c>
      <c r="D33" s="11">
        <v>1506</v>
      </c>
      <c r="E33" s="6">
        <v>199505</v>
      </c>
      <c r="F33" s="7"/>
      <c r="G33" s="26">
        <f>Multicollinearity_Reg_Analysis!$B$37+Multicollinearity_Reg_Analysis!$B$34*B33+Multicollinearity_Reg_Analysis!$B$35*C33+Multicollinearity_Reg_Analysis!$B$36*D33</f>
        <v>199832.30985407985</v>
      </c>
      <c r="H33" s="26">
        <f t="shared" si="0"/>
        <v>-327.30985407985281</v>
      </c>
    </row>
    <row r="34" spans="1:8" x14ac:dyDescent="0.3">
      <c r="A34" s="7" t="s">
        <v>144</v>
      </c>
      <c r="B34" s="6">
        <v>48400</v>
      </c>
      <c r="C34" s="11">
        <v>781</v>
      </c>
      <c r="D34" s="11">
        <v>1521</v>
      </c>
      <c r="E34" s="6">
        <v>199560</v>
      </c>
      <c r="F34" s="7"/>
      <c r="G34" s="26">
        <f>Multicollinearity_Reg_Analysis!$B$37+Multicollinearity_Reg_Analysis!$B$34*B34+Multicollinearity_Reg_Analysis!$B$35*C34+Multicollinearity_Reg_Analysis!$B$36*D34</f>
        <v>200616.65339179127</v>
      </c>
      <c r="H34" s="26">
        <f t="shared" si="0"/>
        <v>-1056.6533917912748</v>
      </c>
    </row>
    <row r="35" spans="1:8" x14ac:dyDescent="0.3">
      <c r="A35" s="7" t="s">
        <v>145</v>
      </c>
      <c r="B35" s="6">
        <v>49850</v>
      </c>
      <c r="C35" s="11">
        <v>805</v>
      </c>
      <c r="D35" s="11">
        <v>1574</v>
      </c>
      <c r="E35" s="6">
        <v>205902</v>
      </c>
      <c r="F35" s="7"/>
      <c r="G35" s="26">
        <f>Multicollinearity_Reg_Analysis!$B$37+Multicollinearity_Reg_Analysis!$B$34*B35+Multicollinearity_Reg_Analysis!$B$35*C35+Multicollinearity_Reg_Analysis!$B$36*D35</f>
        <v>205119.8442557324</v>
      </c>
      <c r="H35" s="26">
        <f t="shared" si="0"/>
        <v>782.15574426759849</v>
      </c>
    </row>
    <row r="36" spans="1:8" x14ac:dyDescent="0.3">
      <c r="A36" s="7" t="s">
        <v>146</v>
      </c>
      <c r="B36" s="6">
        <v>51300</v>
      </c>
      <c r="C36" s="11">
        <v>825</v>
      </c>
      <c r="D36" s="11">
        <v>1607</v>
      </c>
      <c r="E36" s="6">
        <v>207045</v>
      </c>
      <c r="F36" s="7"/>
      <c r="G36" s="26">
        <f>Multicollinearity_Reg_Analysis!$B$37+Multicollinearity_Reg_Analysis!$B$34*B36+Multicollinearity_Reg_Analysis!$B$35*C36+Multicollinearity_Reg_Analysis!$B$36*D36</f>
        <v>206346.49593746269</v>
      </c>
      <c r="H36" s="26">
        <f t="shared" si="0"/>
        <v>698.50406253730762</v>
      </c>
    </row>
    <row r="39" spans="1:8" ht="15.6" x14ac:dyDescent="0.3">
      <c r="A39" s="12" t="s">
        <v>215</v>
      </c>
    </row>
    <row r="41" spans="1:8" ht="28.8" x14ac:dyDescent="0.3">
      <c r="A41" s="13" t="s">
        <v>64</v>
      </c>
      <c r="B41" s="24" t="s">
        <v>370</v>
      </c>
    </row>
    <row r="42" spans="1:8" ht="28.8" x14ac:dyDescent="0.3">
      <c r="A42" s="13" t="s">
        <v>216</v>
      </c>
      <c r="B42" s="24" t="s">
        <v>371</v>
      </c>
    </row>
    <row r="43" spans="1:8" x14ac:dyDescent="0.3">
      <c r="A43" s="13" t="s">
        <v>217</v>
      </c>
      <c r="B43" s="24" t="s">
        <v>372</v>
      </c>
    </row>
    <row r="44" spans="1:8" x14ac:dyDescent="0.3">
      <c r="A44" s="13" t="s">
        <v>219</v>
      </c>
      <c r="B44" s="24" t="str">
        <f>"Sales = "&amp;TEXT(Multicollinearity_Reg_Analysis!$B$37,"$#,##0")&amp;IF(Multicollinearity_Reg_Analysis!$B$34&lt;0," - "," + ")&amp;TEXT(ABS(Multicollinearity_Reg_Analysis!$B$34),"0.000")&amp;"×Paid Media Spend + "&amp;TEXT(Multicollinearity_Reg_Analysis!$B$35,"$#,##0")&amp;"×Reach (000s) + "&amp;TEXT(Multicollinearity_Reg_Analysis!$B$36,"$#,##0")&amp;"×Brand Impressions (000s)"</f>
        <v>Sales = $71,790 - 8.881×Paid Media Spend + $649×Reach (000s) + $34×Brand Impressions (000s)</v>
      </c>
    </row>
    <row r="45" spans="1:8" ht="28.8" x14ac:dyDescent="0.3">
      <c r="A45" s="13" t="s">
        <v>373</v>
      </c>
      <c r="B45" s="24" t="str">
        <f>"The model explains "&amp;TEXT(Multicollinearity_Reg_Analysis!$B$8,"0.0%")&amp;" of sales variation, with typical error of approximately "&amp;TEXT(Multicollinearity_Reg_Analysis!$B$10,"$#,##0")&amp;". Fitted sales are shown in G7:G36; use an approximate range of prediction ±"&amp;TEXT(2*Multicollinearity_Reg_Analysis!$B$10,"$#,##0")&amp;" for similar regions."</f>
        <v>The model explains 99.9% of sales variation, with typical error of approximately $745. Fitted sales are shown in G7:G36; use an approximate range of prediction ±$1,491 for similar regions.</v>
      </c>
    </row>
    <row r="46" spans="1:8" ht="28.8" x14ac:dyDescent="0.3">
      <c r="A46" s="13" t="s">
        <v>374</v>
      </c>
      <c r="B46" s="24" t="s">
        <v>375</v>
      </c>
    </row>
    <row r="47" spans="1:8" ht="43.2" x14ac:dyDescent="0.3">
      <c r="A47" s="13" t="s">
        <v>376</v>
      </c>
      <c r="B47" s="24" t="s">
        <v>377</v>
      </c>
    </row>
    <row r="48" spans="1:8" ht="28.8" x14ac:dyDescent="0.3">
      <c r="A48" s="13" t="s">
        <v>222</v>
      </c>
      <c r="B48" s="24" t="str">
        <f>"A six-region holdout produced MAE of "&amp;TEXT(Multicollinearity_Reg_Analysis!$B$12,"$#,##0")&amp;" and RMSE of "&amp;TEXT(Multicollinearity_Reg_Analysis!$B$13,"$#,##0")&amp;". This supports limited prediction within the observed relationship, not channel attribution."</f>
        <v>A six-region holdout produced MAE of $565 and RMSE of $670. This supports limited prediction within the observed relationship, not channel attribution.</v>
      </c>
    </row>
    <row r="49" spans="1:2" ht="43.8" thickBot="1" x14ac:dyDescent="0.35">
      <c r="A49" s="13" t="s">
        <v>223</v>
      </c>
      <c r="B49" s="24" t="s">
        <v>378</v>
      </c>
    </row>
    <row r="50" spans="1:2" ht="15" thickBot="1" x14ac:dyDescent="0.35">
      <c r="A50" s="13" t="s">
        <v>224</v>
      </c>
      <c r="B50" s="25" t="s">
        <v>52</v>
      </c>
    </row>
    <row r="51" spans="1:2" ht="28.8" x14ac:dyDescent="0.3">
      <c r="A51" s="13" t="s">
        <v>225</v>
      </c>
      <c r="B51" s="24" t="s">
        <v>379</v>
      </c>
    </row>
  </sheetData>
  <autoFilter ref="A6:E36" xr:uid="{00000000-0009-0000-0000-000006000000}"/>
  <mergeCells count="4">
    <mergeCell ref="A2:F2"/>
    <mergeCell ref="A1:F1"/>
    <mergeCell ref="B3:E3"/>
    <mergeCell ref="B4:E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F5FE-E555-454F-A333-4ED08DB569DC}">
  <sheetPr>
    <tabColor theme="9"/>
  </sheetPr>
  <dimension ref="A1:G66"/>
  <sheetViews>
    <sheetView workbookViewId="0">
      <selection activeCell="B48" sqref="B48"/>
    </sheetView>
  </sheetViews>
  <sheetFormatPr defaultRowHeight="14.4" x14ac:dyDescent="0.3"/>
  <cols>
    <col min="1" max="1" width="30.5546875" customWidth="1"/>
    <col min="2" max="2" width="33.33203125" customWidth="1"/>
    <col min="3" max="3" width="53.6640625" customWidth="1"/>
    <col min="4" max="5" width="22.21875" customWidth="1"/>
    <col min="6" max="7" width="55.5546875" customWidth="1"/>
  </cols>
  <sheetData>
    <row r="1" spans="1:2" ht="18" x14ac:dyDescent="0.35">
      <c r="A1" s="14" t="s">
        <v>380</v>
      </c>
    </row>
    <row r="3" spans="1:2" x14ac:dyDescent="0.3">
      <c r="A3" s="15" t="s">
        <v>312</v>
      </c>
    </row>
    <row r="4" spans="1:2" x14ac:dyDescent="0.3">
      <c r="A4" s="13" t="s">
        <v>228</v>
      </c>
      <c r="B4" t="s">
        <v>70</v>
      </c>
    </row>
    <row r="5" spans="1:2" x14ac:dyDescent="0.3">
      <c r="A5" s="13" t="s">
        <v>229</v>
      </c>
      <c r="B5" t="s">
        <v>275</v>
      </c>
    </row>
    <row r="6" spans="1:2" ht="28.8" x14ac:dyDescent="0.3">
      <c r="A6" s="13" t="s">
        <v>231</v>
      </c>
      <c r="B6" s="24" t="s">
        <v>381</v>
      </c>
    </row>
    <row r="7" spans="1:2" x14ac:dyDescent="0.3">
      <c r="A7" s="13" t="s">
        <v>232</v>
      </c>
      <c r="B7" s="30">
        <f>COUNT(Multicollinearity!E7:E36)</f>
        <v>30</v>
      </c>
    </row>
    <row r="8" spans="1:2" x14ac:dyDescent="0.3">
      <c r="A8" s="13" t="s">
        <v>233</v>
      </c>
      <c r="B8" s="31">
        <f>INDEX(LINEST(Multicollinearity!E7:E36,Multicollinearity!B7:D36,TRUE,TRUE),3,1)</f>
        <v>0.99937288283887094</v>
      </c>
    </row>
    <row r="9" spans="1:2" x14ac:dyDescent="0.3">
      <c r="A9" s="13" t="s">
        <v>234</v>
      </c>
      <c r="B9" s="31">
        <f>1-(1-B8)*(B7-1)/(B7-3-1)</f>
        <v>0.99930052316643292</v>
      </c>
    </row>
    <row r="10" spans="1:2" x14ac:dyDescent="0.3">
      <c r="A10" s="13" t="s">
        <v>277</v>
      </c>
      <c r="B10" s="32">
        <f>INDEX(LINEST(Multicollinearity!E7:E36,Multicollinearity!B7:D36,TRUE,TRUE),3,2)</f>
        <v>745.29741215768126</v>
      </c>
    </row>
    <row r="11" spans="1:2" ht="28.8" x14ac:dyDescent="0.3">
      <c r="A11" s="13" t="s">
        <v>236</v>
      </c>
      <c r="B11" s="24" t="s">
        <v>382</v>
      </c>
    </row>
    <row r="12" spans="1:2" x14ac:dyDescent="0.3">
      <c r="A12" s="13" t="s">
        <v>257</v>
      </c>
      <c r="B12" s="32">
        <f>SUMPRODUCT(ABS(E61:E66))/COUNT(E61:E66)</f>
        <v>564.83015732705337</v>
      </c>
    </row>
    <row r="13" spans="1:2" x14ac:dyDescent="0.3">
      <c r="A13" s="13" t="s">
        <v>258</v>
      </c>
      <c r="B13" s="32">
        <f>SQRT(SUMSQ(E61:E66)/COUNT(E61:E66))</f>
        <v>669.82168237721919</v>
      </c>
    </row>
    <row r="14" spans="1:2" x14ac:dyDescent="0.3">
      <c r="A14" s="13" t="s">
        <v>224</v>
      </c>
      <c r="B14" s="34" t="s">
        <v>52</v>
      </c>
    </row>
    <row r="17" spans="1:7" x14ac:dyDescent="0.3">
      <c r="A17" s="15" t="s">
        <v>314</v>
      </c>
    </row>
    <row r="18" spans="1:7" x14ac:dyDescent="0.3">
      <c r="A18" s="13" t="s">
        <v>238</v>
      </c>
      <c r="B18" s="13" t="s">
        <v>239</v>
      </c>
      <c r="C18" s="13" t="s">
        <v>240</v>
      </c>
      <c r="D18" s="13" t="s">
        <v>241</v>
      </c>
      <c r="E18" s="13" t="s">
        <v>242</v>
      </c>
      <c r="F18" s="13" t="s">
        <v>279</v>
      </c>
      <c r="G18" s="13" t="s">
        <v>244</v>
      </c>
    </row>
    <row r="19" spans="1:7" ht="28.8" x14ac:dyDescent="0.3">
      <c r="A19">
        <v>1</v>
      </c>
      <c r="B19" t="s">
        <v>114</v>
      </c>
      <c r="C19" t="s">
        <v>383</v>
      </c>
      <c r="D19" s="18">
        <f>B34</f>
        <v>-8.8811044240740067</v>
      </c>
      <c r="E19" t="s">
        <v>384</v>
      </c>
      <c r="F19" s="24" t="s">
        <v>385</v>
      </c>
      <c r="G19" s="24" t="s">
        <v>386</v>
      </c>
    </row>
    <row r="20" spans="1:7" ht="28.8" x14ac:dyDescent="0.3">
      <c r="A20">
        <v>2</v>
      </c>
      <c r="B20" t="s">
        <v>115</v>
      </c>
      <c r="C20" t="s">
        <v>387</v>
      </c>
      <c r="D20" s="28">
        <f>B35</f>
        <v>649.10174970072944</v>
      </c>
      <c r="E20" t="s">
        <v>384</v>
      </c>
      <c r="F20" s="24" t="s">
        <v>388</v>
      </c>
      <c r="G20" s="24" t="s">
        <v>389</v>
      </c>
    </row>
    <row r="21" spans="1:7" ht="28.8" x14ac:dyDescent="0.3">
      <c r="A21">
        <v>3</v>
      </c>
      <c r="B21" t="s">
        <v>116</v>
      </c>
      <c r="C21" t="s">
        <v>387</v>
      </c>
      <c r="D21" s="28">
        <f>B36</f>
        <v>34.006609170394221</v>
      </c>
      <c r="E21" t="s">
        <v>384</v>
      </c>
      <c r="F21" s="24" t="s">
        <v>390</v>
      </c>
      <c r="G21" s="24" t="s">
        <v>391</v>
      </c>
    </row>
    <row r="24" spans="1:7" x14ac:dyDescent="0.3">
      <c r="A24" s="15" t="s">
        <v>316</v>
      </c>
    </row>
    <row r="25" spans="1:7" x14ac:dyDescent="0.3">
      <c r="A25" s="13" t="s">
        <v>247</v>
      </c>
      <c r="B25" s="13" t="s">
        <v>248</v>
      </c>
      <c r="C25" s="13" t="s">
        <v>284</v>
      </c>
    </row>
    <row r="26" spans="1:7" ht="28.8" x14ac:dyDescent="0.3">
      <c r="A26" t="s">
        <v>249</v>
      </c>
      <c r="B26" t="s">
        <v>250</v>
      </c>
      <c r="C26" s="24" t="s">
        <v>392</v>
      </c>
    </row>
    <row r="27" spans="1:7" ht="28.8" x14ac:dyDescent="0.3">
      <c r="A27" t="s">
        <v>251</v>
      </c>
      <c r="B27" t="s">
        <v>250</v>
      </c>
      <c r="C27" s="24" t="s">
        <v>393</v>
      </c>
    </row>
    <row r="28" spans="1:7" ht="28.8" x14ac:dyDescent="0.3">
      <c r="A28" t="s">
        <v>29</v>
      </c>
      <c r="B28" s="19" t="s">
        <v>254</v>
      </c>
      <c r="C28" s="24" t="s">
        <v>394</v>
      </c>
    </row>
    <row r="29" spans="1:7" ht="28.8" x14ac:dyDescent="0.3">
      <c r="A29" t="s">
        <v>222</v>
      </c>
      <c r="B29" t="s">
        <v>52</v>
      </c>
      <c r="C29" s="24" t="s">
        <v>395</v>
      </c>
    </row>
    <row r="30" spans="1:7" ht="28.8" x14ac:dyDescent="0.3">
      <c r="A30" t="s">
        <v>252</v>
      </c>
      <c r="B30" t="s">
        <v>250</v>
      </c>
      <c r="C30" s="24" t="s">
        <v>396</v>
      </c>
    </row>
    <row r="33" spans="1:7" x14ac:dyDescent="0.3">
      <c r="A33" s="13" t="s">
        <v>241</v>
      </c>
      <c r="B33" s="13" t="s">
        <v>290</v>
      </c>
      <c r="C33" s="13" t="s">
        <v>291</v>
      </c>
      <c r="D33" s="13" t="s">
        <v>292</v>
      </c>
      <c r="E33" s="13" t="s">
        <v>293</v>
      </c>
      <c r="F33" s="13" t="s">
        <v>294</v>
      </c>
      <c r="G33" s="13" t="s">
        <v>295</v>
      </c>
    </row>
    <row r="34" spans="1:7" x14ac:dyDescent="0.3">
      <c r="A34" t="s">
        <v>114</v>
      </c>
      <c r="B34" s="18">
        <f>INDEX(LINEST(Multicollinearity!E7:E36,Multicollinearity!B7:D36,TRUE,TRUE),1,3)</f>
        <v>-8.8811044240740067</v>
      </c>
      <c r="C34" s="20">
        <f>INDEX(LINEST(Multicollinearity!E7:E36,Multicollinearity!B7:D36,TRUE,TRUE),2,3)</f>
        <v>1.1841777203972701</v>
      </c>
      <c r="D34" s="21">
        <f>B34/C34</f>
        <v>-7.4998070569125028</v>
      </c>
      <c r="E34" s="22">
        <f>_xlfn.T.DIST.2T(ABS(D34),B7-4)</f>
        <v>5.8070988405128031E-8</v>
      </c>
      <c r="F34" s="18">
        <f>B34-_xlfn.T.INV.2T(0.05,B7-4)*C34</f>
        <v>-11.315216588935604</v>
      </c>
      <c r="G34" s="18">
        <f>B34+_xlfn.T.INV.2T(0.05,B7-4)*C34</f>
        <v>-6.4469922592124096</v>
      </c>
    </row>
    <row r="35" spans="1:7" x14ac:dyDescent="0.3">
      <c r="A35" t="s">
        <v>115</v>
      </c>
      <c r="B35" s="28">
        <f>INDEX(LINEST(Multicollinearity!E7:E36,Multicollinearity!B7:D36,TRUE,TRUE),1,2)</f>
        <v>649.10174970072944</v>
      </c>
      <c r="C35" s="28">
        <f>INDEX(LINEST(Multicollinearity!E7:E36,Multicollinearity!B7:D36,TRUE,TRUE),2,2)</f>
        <v>122.19506737792163</v>
      </c>
      <c r="D35" s="21">
        <f>B35/C35</f>
        <v>5.3120126992786458</v>
      </c>
      <c r="E35" s="22">
        <f>_xlfn.T.DIST.2T(ABS(D35),B7-4)</f>
        <v>1.4777254103849156E-5</v>
      </c>
      <c r="F35" s="28">
        <f>B35-_xlfn.T.INV.2T(0.05,B7-4)*C35</f>
        <v>397.92619144846213</v>
      </c>
      <c r="G35" s="28">
        <f>B35+_xlfn.T.INV.2T(0.05,B7-4)*C35</f>
        <v>900.27730795299681</v>
      </c>
    </row>
    <row r="36" spans="1:7" x14ac:dyDescent="0.3">
      <c r="A36" t="s">
        <v>116</v>
      </c>
      <c r="B36" s="28">
        <f>INDEX(LINEST(Multicollinearity!E7:E36,Multicollinearity!B7:D36,TRUE,TRUE),1,1)</f>
        <v>34.006609170394221</v>
      </c>
      <c r="C36" s="28">
        <f>INDEX(LINEST(Multicollinearity!E7:E36,Multicollinearity!B7:D36,TRUE,TRUE),2,1)</f>
        <v>50.41991135540237</v>
      </c>
      <c r="D36" s="21">
        <f>B36/C36</f>
        <v>0.67446784923294978</v>
      </c>
      <c r="E36" s="22">
        <f>_xlfn.T.DIST.2T(ABS(D36),B7-4)</f>
        <v>0.50596730946996038</v>
      </c>
      <c r="F36" s="28">
        <f>B36-_xlfn.T.INV.2T(0.05,B7-4)*C36</f>
        <v>-69.633002914399441</v>
      </c>
      <c r="G36" s="28">
        <f>B36+_xlfn.T.INV.2T(0.05,B7-4)*C36</f>
        <v>137.64622125518787</v>
      </c>
    </row>
    <row r="37" spans="1:7" x14ac:dyDescent="0.3">
      <c r="A37" t="s">
        <v>255</v>
      </c>
      <c r="B37" s="28">
        <f>INDEX(LINEST(Multicollinearity!E7:E36,Multicollinearity!B7:D36,TRUE,TRUE),1,4)</f>
        <v>71789.588452533877</v>
      </c>
      <c r="C37" s="28">
        <f>INDEX(LINEST(Multicollinearity!E7:E36,Multicollinearity!B7:D36,TRUE,TRUE),2,4)</f>
        <v>463.23324974027167</v>
      </c>
      <c r="D37" s="21">
        <f>B37/C37</f>
        <v>154.975033620288</v>
      </c>
      <c r="E37" s="22">
        <f>_xlfn.T.DIST.2T(ABS(D37),B7-4)</f>
        <v>4.2878181171683034E-40</v>
      </c>
      <c r="F37" s="28">
        <f>B37-_xlfn.T.INV.2T(0.05,B7-4)*C37</f>
        <v>70837.398870734542</v>
      </c>
      <c r="G37" s="28">
        <f>B37+_xlfn.T.INV.2T(0.05,B7-4)*C37</f>
        <v>72741.778034333212</v>
      </c>
    </row>
    <row r="40" spans="1:7" x14ac:dyDescent="0.3">
      <c r="A40" s="15" t="s">
        <v>397</v>
      </c>
    </row>
    <row r="41" spans="1:7" x14ac:dyDescent="0.3">
      <c r="A41" t="s">
        <v>239</v>
      </c>
      <c r="B41" t="s">
        <v>297</v>
      </c>
      <c r="C41" t="s">
        <v>398</v>
      </c>
    </row>
    <row r="42" spans="1:7" x14ac:dyDescent="0.3">
      <c r="A42" t="s">
        <v>114</v>
      </c>
      <c r="B42" s="40">
        <v>8203.7257483600006</v>
      </c>
      <c r="C42" s="24" t="s">
        <v>399</v>
      </c>
    </row>
    <row r="43" spans="1:7" x14ac:dyDescent="0.3">
      <c r="A43" t="s">
        <v>400</v>
      </c>
      <c r="B43" s="40">
        <v>22729.9265576</v>
      </c>
      <c r="C43" s="24" t="s">
        <v>401</v>
      </c>
    </row>
    <row r="44" spans="1:7" x14ac:dyDescent="0.3">
      <c r="A44" t="s">
        <v>402</v>
      </c>
      <c r="B44" s="40">
        <v>14709.9214545</v>
      </c>
    </row>
    <row r="47" spans="1:7" x14ac:dyDescent="0.3">
      <c r="A47" s="15" t="s">
        <v>403</v>
      </c>
    </row>
    <row r="48" spans="1:7" x14ac:dyDescent="0.3">
      <c r="A48" t="s">
        <v>404</v>
      </c>
      <c r="B48" t="s">
        <v>405</v>
      </c>
      <c r="C48" t="s">
        <v>406</v>
      </c>
      <c r="D48" t="s">
        <v>407</v>
      </c>
    </row>
    <row r="49" spans="1:5" x14ac:dyDescent="0.3">
      <c r="A49" t="s">
        <v>408</v>
      </c>
      <c r="B49" s="18">
        <v>2.65819780592</v>
      </c>
      <c r="C49" s="18">
        <v>164.86703259999999</v>
      </c>
      <c r="D49" s="18">
        <v>84.5613826907</v>
      </c>
    </row>
    <row r="50" spans="1:5" x14ac:dyDescent="0.3">
      <c r="A50" t="s">
        <v>409</v>
      </c>
      <c r="B50" s="18">
        <f>B34</f>
        <v>-8.8811044240740067</v>
      </c>
      <c r="C50" s="18">
        <f>B35</f>
        <v>649.10174970072944</v>
      </c>
      <c r="D50" s="18">
        <f>B36</f>
        <v>34.006609170394221</v>
      </c>
    </row>
    <row r="51" spans="1:5" x14ac:dyDescent="0.3">
      <c r="A51" t="s">
        <v>410</v>
      </c>
      <c r="B51" s="18">
        <v>-8.8744613986500003</v>
      </c>
      <c r="C51" s="18">
        <v>714.98885336800004</v>
      </c>
    </row>
    <row r="52" spans="1:5" x14ac:dyDescent="0.3">
      <c r="A52" t="s">
        <v>411</v>
      </c>
      <c r="B52" s="18">
        <v>-5.1443733157700002</v>
      </c>
      <c r="D52" s="18">
        <v>248.121401281</v>
      </c>
    </row>
    <row r="60" spans="1:5" x14ac:dyDescent="0.3">
      <c r="A60" t="s">
        <v>113</v>
      </c>
      <c r="B60" t="s">
        <v>214</v>
      </c>
      <c r="C60" t="s">
        <v>260</v>
      </c>
      <c r="D60" t="s">
        <v>261</v>
      </c>
      <c r="E60" t="s">
        <v>303</v>
      </c>
    </row>
    <row r="61" spans="1:5" x14ac:dyDescent="0.3">
      <c r="A61" t="str">
        <f>Multicollinearity!A31</f>
        <v>Region 25</v>
      </c>
      <c r="B61" s="28">
        <f>Multicollinearity!E31</f>
        <v>189820</v>
      </c>
      <c r="C61" s="28">
        <f>INDEX(LINEST(Multicollinearity!$E$7:$E$30,Multicollinearity!$B$7:$D$30,TRUE,TRUE),1,4)+INDEX(LINEST(Multicollinearity!$E$7:$E$30,Multicollinearity!$B$7:$D$30,TRUE,TRUE),1,3)*Multicollinearity!B31+INDEX(LINEST(Multicollinearity!$E$7:$E$30,Multicollinearity!$B$7:$D$30,TRUE,TRUE),1,2)*Multicollinearity!C31+INDEX(LINEST(Multicollinearity!$E$7:$E$30,Multicollinearity!$B$7:$D$30,TRUE,TRUE),1,1)*Multicollinearity!D31</f>
        <v>189774.11242229561</v>
      </c>
      <c r="D61" s="26">
        <f>B61-C61</f>
        <v>45.887577704386786</v>
      </c>
      <c r="E61" s="28">
        <f>ABS(D61)</f>
        <v>45.887577704386786</v>
      </c>
    </row>
    <row r="62" spans="1:5" x14ac:dyDescent="0.3">
      <c r="A62" t="str">
        <f>Multicollinearity!A32</f>
        <v>Region 26</v>
      </c>
      <c r="B62" s="28">
        <f>Multicollinearity!E32</f>
        <v>192162</v>
      </c>
      <c r="C62" s="28">
        <f>INDEX(LINEST(Multicollinearity!$E$7:$E$30,Multicollinearity!$B$7:$D$30,TRUE,TRUE),1,4)+INDEX(LINEST(Multicollinearity!$E$7:$E$30,Multicollinearity!$B$7:$D$30,TRUE,TRUE),1,3)*Multicollinearity!B32+INDEX(LINEST(Multicollinearity!$E$7:$E$30,Multicollinearity!$B$7:$D$30,TRUE,TRUE),1,2)*Multicollinearity!C32+INDEX(LINEST(Multicollinearity!$E$7:$E$30,Multicollinearity!$B$7:$D$30,TRUE,TRUE),1,1)*Multicollinearity!D32</f>
        <v>192574.23373442967</v>
      </c>
      <c r="D62" s="26">
        <f t="shared" ref="D62:D66" si="0">B62-C62</f>
        <v>-412.2337344296684</v>
      </c>
      <c r="E62" s="28">
        <f t="shared" ref="E62:E66" si="1">ABS(D62)</f>
        <v>412.2337344296684</v>
      </c>
    </row>
    <row r="63" spans="1:5" x14ac:dyDescent="0.3">
      <c r="A63" t="str">
        <f>Multicollinearity!A33</f>
        <v>Region 27</v>
      </c>
      <c r="B63" s="28">
        <f>Multicollinearity!E33</f>
        <v>199505</v>
      </c>
      <c r="C63" s="28">
        <f>INDEX(LINEST(Multicollinearity!$E$7:$E$30,Multicollinearity!$B$7:$D$30,TRUE,TRUE),1,4)+INDEX(LINEST(Multicollinearity!$E$7:$E$30,Multicollinearity!$B$7:$D$30,TRUE,TRUE),1,3)*Multicollinearity!B33+INDEX(LINEST(Multicollinearity!$E$7:$E$30,Multicollinearity!$B$7:$D$30,TRUE,TRUE),1,2)*Multicollinearity!C33+INDEX(LINEST(Multicollinearity!$E$7:$E$30,Multicollinearity!$B$7:$D$30,TRUE,TRUE),1,1)*Multicollinearity!D33</f>
        <v>199802.16322532523</v>
      </c>
      <c r="D63" s="26">
        <f t="shared" si="0"/>
        <v>-297.16322532523191</v>
      </c>
      <c r="E63" s="28">
        <f t="shared" si="1"/>
        <v>297.16322532523191</v>
      </c>
    </row>
    <row r="64" spans="1:5" x14ac:dyDescent="0.3">
      <c r="A64" t="str">
        <f>Multicollinearity!A34</f>
        <v>Region 28</v>
      </c>
      <c r="B64" s="28">
        <f>Multicollinearity!E34</f>
        <v>199560</v>
      </c>
      <c r="C64" s="28">
        <f>INDEX(LINEST(Multicollinearity!$E$7:$E$30,Multicollinearity!$B$7:$D$30,TRUE,TRUE),1,4)+INDEX(LINEST(Multicollinearity!$E$7:$E$30,Multicollinearity!$B$7:$D$30,TRUE,TRUE),1,3)*Multicollinearity!B34+INDEX(LINEST(Multicollinearity!$E$7:$E$30,Multicollinearity!$B$7:$D$30,TRUE,TRUE),1,2)*Multicollinearity!C34+INDEX(LINEST(Multicollinearity!$E$7:$E$30,Multicollinearity!$B$7:$D$30,TRUE,TRUE),1,1)*Multicollinearity!D34</f>
        <v>200691.4923557349</v>
      </c>
      <c r="D64" s="26">
        <f t="shared" si="0"/>
        <v>-1131.4923557348957</v>
      </c>
      <c r="E64" s="28">
        <f t="shared" si="1"/>
        <v>1131.4923557348957</v>
      </c>
    </row>
    <row r="65" spans="1:5" x14ac:dyDescent="0.3">
      <c r="A65" t="str">
        <f>Multicollinearity!A35</f>
        <v>Region 29</v>
      </c>
      <c r="B65" s="28">
        <f>Multicollinearity!E35</f>
        <v>205902</v>
      </c>
      <c r="C65" s="28">
        <f>INDEX(LINEST(Multicollinearity!$E$7:$E$30,Multicollinearity!$B$7:$D$30,TRUE,TRUE),1,4)+INDEX(LINEST(Multicollinearity!$E$7:$E$30,Multicollinearity!$B$7:$D$30,TRUE,TRUE),1,3)*Multicollinearity!B35+INDEX(LINEST(Multicollinearity!$E$7:$E$30,Multicollinearity!$B$7:$D$30,TRUE,TRUE),1,2)*Multicollinearity!C35+INDEX(LINEST(Multicollinearity!$E$7:$E$30,Multicollinearity!$B$7:$D$30,TRUE,TRUE),1,1)*Multicollinearity!D35</f>
        <v>205043.57892490391</v>
      </c>
      <c r="D65" s="26">
        <f t="shared" si="0"/>
        <v>858.42107509609195</v>
      </c>
      <c r="E65" s="28">
        <f t="shared" si="1"/>
        <v>858.42107509609195</v>
      </c>
    </row>
    <row r="66" spans="1:5" x14ac:dyDescent="0.3">
      <c r="A66" t="str">
        <f>Multicollinearity!A36</f>
        <v>Region 30</v>
      </c>
      <c r="B66" s="28">
        <f>Multicollinearity!E36</f>
        <v>207045</v>
      </c>
      <c r="C66" s="28">
        <f>INDEX(LINEST(Multicollinearity!$E$7:$E$30,Multicollinearity!$B$7:$D$30,TRUE,TRUE),1,4)+INDEX(LINEST(Multicollinearity!$E$7:$E$30,Multicollinearity!$B$7:$D$30,TRUE,TRUE),1,3)*Multicollinearity!B36+INDEX(LINEST(Multicollinearity!$E$7:$E$30,Multicollinearity!$B$7:$D$30,TRUE,TRUE),1,2)*Multicollinearity!C36+INDEX(LINEST(Multicollinearity!$E$7:$E$30,Multicollinearity!$B$7:$D$30,TRUE,TRUE),1,1)*Multicollinearity!D36</f>
        <v>206401.21702432795</v>
      </c>
      <c r="D66" s="26">
        <f t="shared" si="0"/>
        <v>643.78297567204572</v>
      </c>
      <c r="E66" s="28">
        <f t="shared" si="1"/>
        <v>643.78297567204572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F46"/>
  <sheetViews>
    <sheetView showGridLines="0" topLeftCell="C1" workbookViewId="0">
      <pane ySplit="6" topLeftCell="A7" activePane="bottomLeft" state="frozen"/>
      <selection pane="bottomLeft" activeCell="G6" sqref="G6"/>
    </sheetView>
  </sheetViews>
  <sheetFormatPr defaultRowHeight="14.4" x14ac:dyDescent="0.3"/>
  <cols>
    <col min="1" max="1" width="26.88671875" customWidth="1"/>
    <col min="2" max="2" width="100" customWidth="1"/>
    <col min="3" max="3" width="18" customWidth="1"/>
    <col min="5" max="6" width="21.33203125" customWidth="1"/>
  </cols>
  <sheetData>
    <row r="1" spans="1:6" ht="28.05" customHeight="1" x14ac:dyDescent="0.3">
      <c r="A1" s="57" t="s">
        <v>147</v>
      </c>
      <c r="B1" s="58"/>
      <c r="C1" s="58"/>
      <c r="D1" s="58"/>
      <c r="E1" s="58"/>
      <c r="F1" s="58"/>
    </row>
    <row r="2" spans="1:6" ht="30" customHeight="1" x14ac:dyDescent="0.3">
      <c r="A2" s="59" t="s">
        <v>63</v>
      </c>
      <c r="B2" s="58"/>
      <c r="C2" s="58"/>
      <c r="D2" s="58"/>
      <c r="E2" s="58"/>
      <c r="F2" s="58"/>
    </row>
    <row r="3" spans="1:6" ht="43.05" customHeight="1" x14ac:dyDescent="0.3">
      <c r="A3" s="4" t="s">
        <v>64</v>
      </c>
      <c r="B3" s="60" t="s">
        <v>148</v>
      </c>
      <c r="C3" s="61"/>
    </row>
    <row r="4" spans="1:6" ht="43.05" customHeight="1" x14ac:dyDescent="0.3">
      <c r="A4" s="4" t="s">
        <v>66</v>
      </c>
      <c r="B4" s="60" t="s">
        <v>149</v>
      </c>
      <c r="C4" s="61"/>
    </row>
    <row r="5" spans="1:6" ht="7.95" customHeight="1" x14ac:dyDescent="0.3"/>
    <row r="6" spans="1:6" ht="34.049999999999997" customHeight="1" x14ac:dyDescent="0.3">
      <c r="A6" s="3" t="s">
        <v>150</v>
      </c>
      <c r="B6" s="3" t="s">
        <v>69</v>
      </c>
      <c r="C6" s="3" t="s">
        <v>70</v>
      </c>
      <c r="E6" s="27" t="s">
        <v>418</v>
      </c>
      <c r="F6" s="27" t="s">
        <v>261</v>
      </c>
    </row>
    <row r="7" spans="1:6" x14ac:dyDescent="0.3">
      <c r="A7" s="7" t="s">
        <v>151</v>
      </c>
      <c r="B7" s="6">
        <v>5000</v>
      </c>
      <c r="C7" s="6">
        <v>132777</v>
      </c>
      <c r="D7" s="7"/>
      <c r="E7" s="35">
        <f>Nonlinear_Risk_Reg_Analysis!$B$35+Nonlinear_Risk_Reg_Analysis!$B$34*LN(B7)</f>
        <v>108697.95798304887</v>
      </c>
      <c r="F7" s="35">
        <f>C7-E7</f>
        <v>24079.042016951134</v>
      </c>
    </row>
    <row r="8" spans="1:6" x14ac:dyDescent="0.3">
      <c r="A8" s="7" t="s">
        <v>152</v>
      </c>
      <c r="B8" s="6">
        <v>9500</v>
      </c>
      <c r="C8" s="6">
        <v>181338</v>
      </c>
      <c r="D8" s="7"/>
      <c r="E8" s="35">
        <f>Nonlinear_Risk_Reg_Analysis!$B$35+Nonlinear_Risk_Reg_Analysis!$B$34*LN(B8)</f>
        <v>181694.25591909629</v>
      </c>
      <c r="F8" s="35">
        <f t="shared" ref="F8:F30" si="0">C8-E8</f>
        <v>-356.25591909629293</v>
      </c>
    </row>
    <row r="9" spans="1:6" x14ac:dyDescent="0.3">
      <c r="A9" s="7" t="s">
        <v>153</v>
      </c>
      <c r="B9" s="6">
        <v>14000</v>
      </c>
      <c r="C9" s="6">
        <v>210032</v>
      </c>
      <c r="D9" s="7"/>
      <c r="E9" s="35">
        <f>Nonlinear_Risk_Reg_Analysis!$B$35+Nonlinear_Risk_Reg_Analysis!$B$34*LN(B9)</f>
        <v>225793.77582640876</v>
      </c>
      <c r="F9" s="35">
        <f t="shared" si="0"/>
        <v>-15761.775826408761</v>
      </c>
    </row>
    <row r="10" spans="1:6" x14ac:dyDescent="0.3">
      <c r="A10" s="7" t="s">
        <v>154</v>
      </c>
      <c r="B10" s="6">
        <v>18500</v>
      </c>
      <c r="C10" s="6">
        <v>247897</v>
      </c>
      <c r="D10" s="7"/>
      <c r="E10" s="35">
        <f>Nonlinear_Risk_Reg_Analysis!$B$35+Nonlinear_Risk_Reg_Analysis!$B$34*LN(B10)</f>
        <v>257491.09355509467</v>
      </c>
      <c r="F10" s="35">
        <f t="shared" si="0"/>
        <v>-9594.0935550946742</v>
      </c>
    </row>
    <row r="11" spans="1:6" x14ac:dyDescent="0.3">
      <c r="A11" s="7" t="s">
        <v>155</v>
      </c>
      <c r="B11" s="6">
        <v>23000</v>
      </c>
      <c r="C11" s="6">
        <v>266306</v>
      </c>
      <c r="D11" s="7"/>
      <c r="E11" s="35">
        <f>Nonlinear_Risk_Reg_Analysis!$B$35+Nonlinear_Risk_Reg_Analysis!$B$34*LN(B11)</f>
        <v>282252.19360730448</v>
      </c>
      <c r="F11" s="35">
        <f t="shared" si="0"/>
        <v>-15946.193607304478</v>
      </c>
    </row>
    <row r="12" spans="1:6" x14ac:dyDescent="0.3">
      <c r="A12" s="7" t="s">
        <v>156</v>
      </c>
      <c r="B12" s="6">
        <v>27500</v>
      </c>
      <c r="C12" s="6">
        <v>294777</v>
      </c>
      <c r="D12" s="7"/>
      <c r="E12" s="35">
        <f>Nonlinear_Risk_Reg_Analysis!$B$35+Nonlinear_Risk_Reg_Analysis!$B$34*LN(B12)</f>
        <v>302574.3250625208</v>
      </c>
      <c r="F12" s="35">
        <f t="shared" si="0"/>
        <v>-7797.325062520802</v>
      </c>
    </row>
    <row r="13" spans="1:6" x14ac:dyDescent="0.3">
      <c r="A13" s="7" t="s">
        <v>157</v>
      </c>
      <c r="B13" s="6">
        <v>32000</v>
      </c>
      <c r="C13" s="6">
        <v>307277</v>
      </c>
      <c r="D13" s="7"/>
      <c r="E13" s="35">
        <f>Nonlinear_Risk_Reg_Analysis!$B$35+Nonlinear_Risk_Reg_Analysis!$B$34*LN(B13)</f>
        <v>319809.68306875019</v>
      </c>
      <c r="F13" s="35">
        <f t="shared" si="0"/>
        <v>-12532.683068750193</v>
      </c>
    </row>
    <row r="14" spans="1:6" x14ac:dyDescent="0.3">
      <c r="A14" s="7" t="s">
        <v>158</v>
      </c>
      <c r="B14" s="6">
        <v>36500</v>
      </c>
      <c r="C14" s="6">
        <v>335334</v>
      </c>
      <c r="D14" s="7"/>
      <c r="E14" s="35">
        <f>Nonlinear_Risk_Reg_Analysis!$B$35+Nonlinear_Risk_Reg_Analysis!$B$34*LN(B14)</f>
        <v>334773.50461972784</v>
      </c>
      <c r="F14" s="35">
        <f t="shared" si="0"/>
        <v>560.49538027215749</v>
      </c>
    </row>
    <row r="15" spans="1:6" x14ac:dyDescent="0.3">
      <c r="A15" s="7" t="s">
        <v>159</v>
      </c>
      <c r="B15" s="6">
        <v>41000</v>
      </c>
      <c r="C15" s="6">
        <v>345934</v>
      </c>
      <c r="D15" s="7"/>
      <c r="E15" s="35">
        <f>Nonlinear_Risk_Reg_Analysis!$B$35+Nonlinear_Risk_Reg_Analysis!$B$34*LN(B15)</f>
        <v>347995.41637884942</v>
      </c>
      <c r="F15" s="35">
        <f t="shared" si="0"/>
        <v>-2061.4163788494188</v>
      </c>
    </row>
    <row r="16" spans="1:6" x14ac:dyDescent="0.3">
      <c r="A16" s="7" t="s">
        <v>160</v>
      </c>
      <c r="B16" s="6">
        <v>45500</v>
      </c>
      <c r="C16" s="6">
        <v>367830</v>
      </c>
      <c r="D16" s="7"/>
      <c r="E16" s="35">
        <f>Nonlinear_Risk_Reg_Analysis!$B$35+Nonlinear_Risk_Reg_Analysis!$B$34*LN(B16)</f>
        <v>359839.0050137525</v>
      </c>
      <c r="F16" s="35">
        <f t="shared" si="0"/>
        <v>7990.9949862475041</v>
      </c>
    </row>
    <row r="17" spans="1:6" x14ac:dyDescent="0.3">
      <c r="A17" s="7" t="s">
        <v>161</v>
      </c>
      <c r="B17" s="6">
        <v>50000</v>
      </c>
      <c r="C17" s="6">
        <v>372146</v>
      </c>
      <c r="D17" s="7"/>
      <c r="E17" s="35">
        <f>Nonlinear_Risk_Reg_Analysis!$B$35+Nonlinear_Risk_Reg_Analysis!$B$34*LN(B17)</f>
        <v>370564.70225660573</v>
      </c>
      <c r="F17" s="35">
        <f t="shared" si="0"/>
        <v>1581.2977433942724</v>
      </c>
    </row>
    <row r="18" spans="1:6" x14ac:dyDescent="0.3">
      <c r="A18" s="7" t="s">
        <v>162</v>
      </c>
      <c r="B18" s="6">
        <v>54500</v>
      </c>
      <c r="C18" s="6">
        <v>388180</v>
      </c>
      <c r="D18" s="7"/>
      <c r="E18" s="35">
        <f>Nonlinear_Risk_Reg_Analysis!$B$35+Nonlinear_Risk_Reg_Analysis!$B$34*LN(B18)</f>
        <v>380365.45742187765</v>
      </c>
      <c r="F18" s="35">
        <f t="shared" si="0"/>
        <v>7814.5425781223457</v>
      </c>
    </row>
    <row r="19" spans="1:6" x14ac:dyDescent="0.3">
      <c r="A19" s="7" t="s">
        <v>163</v>
      </c>
      <c r="B19" s="6">
        <v>59000</v>
      </c>
      <c r="C19" s="6">
        <v>389706</v>
      </c>
      <c r="D19" s="7"/>
      <c r="E19" s="35">
        <f>Nonlinear_Risk_Reg_Analysis!$B$35+Nonlinear_Risk_Reg_Analysis!$B$34*LN(B19)</f>
        <v>389388.20948170871</v>
      </c>
      <c r="F19" s="35">
        <f t="shared" si="0"/>
        <v>317.79051829129457</v>
      </c>
    </row>
    <row r="20" spans="1:6" x14ac:dyDescent="0.3">
      <c r="A20" s="7" t="s">
        <v>164</v>
      </c>
      <c r="B20" s="6">
        <v>63500</v>
      </c>
      <c r="C20" s="6">
        <v>408077</v>
      </c>
      <c r="D20" s="7"/>
      <c r="E20" s="35">
        <f>Nonlinear_Risk_Reg_Analysis!$B$35+Nonlinear_Risk_Reg_Analysis!$B$34*LN(B20)</f>
        <v>397747.44470682275</v>
      </c>
      <c r="F20" s="35">
        <f t="shared" si="0"/>
        <v>10329.555293177254</v>
      </c>
    </row>
    <row r="21" spans="1:6" x14ac:dyDescent="0.3">
      <c r="A21" s="7" t="s">
        <v>165</v>
      </c>
      <c r="B21" s="6">
        <v>68000</v>
      </c>
      <c r="C21" s="6">
        <v>410129</v>
      </c>
      <c r="D21" s="7"/>
      <c r="E21" s="35">
        <f>Nonlinear_Risk_Reg_Analysis!$B$35+Nonlinear_Risk_Reg_Analysis!$B$34*LN(B21)</f>
        <v>405534.10142535926</v>
      </c>
      <c r="F21" s="35">
        <f t="shared" si="0"/>
        <v>4594.8985746407416</v>
      </c>
    </row>
    <row r="22" spans="1:6" x14ac:dyDescent="0.3">
      <c r="A22" s="7" t="s">
        <v>166</v>
      </c>
      <c r="B22" s="6">
        <v>72500</v>
      </c>
      <c r="C22" s="6">
        <v>424482</v>
      </c>
      <c r="D22" s="7"/>
      <c r="E22" s="35">
        <f>Nonlinear_Risk_Reg_Analysis!$B$35+Nonlinear_Risk_Reg_Analysis!$B$34*LN(B22)</f>
        <v>412821.61563180643</v>
      </c>
      <c r="F22" s="35">
        <f t="shared" si="0"/>
        <v>11660.384368193569</v>
      </c>
    </row>
    <row r="23" spans="1:6" x14ac:dyDescent="0.3">
      <c r="A23" s="7" t="s">
        <v>167</v>
      </c>
      <c r="B23" s="6">
        <v>77000</v>
      </c>
      <c r="C23" s="6">
        <v>422141</v>
      </c>
      <c r="D23" s="7"/>
      <c r="E23" s="35">
        <f>Nonlinear_Risk_Reg_Analysis!$B$35+Nonlinear_Risk_Reg_Analysis!$B$34*LN(B23)</f>
        <v>419670.1429058807</v>
      </c>
      <c r="F23" s="35">
        <f t="shared" si="0"/>
        <v>2470.8570941193029</v>
      </c>
    </row>
    <row r="24" spans="1:6" x14ac:dyDescent="0.3">
      <c r="A24" s="7" t="s">
        <v>168</v>
      </c>
      <c r="B24" s="6">
        <v>81500</v>
      </c>
      <c r="C24" s="6">
        <v>432301</v>
      </c>
      <c r="D24" s="7"/>
      <c r="E24" s="35">
        <f>Nonlinear_Risk_Reg_Analysis!$B$35+Nonlinear_Risk_Reg_Analysis!$B$34*LN(B24)</f>
        <v>426129.57939707558</v>
      </c>
      <c r="F24" s="35">
        <f t="shared" si="0"/>
        <v>6171.4206029244233</v>
      </c>
    </row>
    <row r="25" spans="1:6" x14ac:dyDescent="0.3">
      <c r="A25" s="7" t="s">
        <v>169</v>
      </c>
      <c r="B25" s="6">
        <v>86000</v>
      </c>
      <c r="C25" s="6">
        <v>428642</v>
      </c>
      <c r="D25" s="7"/>
      <c r="E25" s="35">
        <f>Nonlinear_Risk_Reg_Analysis!$B$35+Nonlinear_Risk_Reg_Analysis!$B$34*LN(B25)</f>
        <v>432241.7698320928</v>
      </c>
      <c r="F25" s="35">
        <f t="shared" si="0"/>
        <v>-3599.769832092803</v>
      </c>
    </row>
    <row r="26" spans="1:6" x14ac:dyDescent="0.3">
      <c r="A26" s="7" t="s">
        <v>170</v>
      </c>
      <c r="B26" s="6">
        <v>90500</v>
      </c>
      <c r="C26" s="6">
        <v>442438</v>
      </c>
      <c r="D26" s="7"/>
      <c r="E26" s="35">
        <f>Nonlinear_Risk_Reg_Analysis!$B$35+Nonlinear_Risk_Reg_Analysis!$B$34*LN(B26)</f>
        <v>438042.15172664891</v>
      </c>
      <c r="F26" s="35">
        <f t="shared" si="0"/>
        <v>4395.84827335109</v>
      </c>
    </row>
    <row r="27" spans="1:6" x14ac:dyDescent="0.3">
      <c r="A27" s="7" t="s">
        <v>171</v>
      </c>
      <c r="B27" s="6">
        <v>95000</v>
      </c>
      <c r="C27" s="6">
        <v>440453</v>
      </c>
      <c r="D27" s="7"/>
      <c r="E27" s="35">
        <f>Nonlinear_Risk_Reg_Analysis!$B$35+Nonlinear_Risk_Reg_Analysis!$B$34*LN(B27)</f>
        <v>443561.00019265339</v>
      </c>
      <c r="F27" s="35">
        <f t="shared" si="0"/>
        <v>-3108.0001926533878</v>
      </c>
    </row>
    <row r="28" spans="1:6" x14ac:dyDescent="0.3">
      <c r="A28" s="7" t="s">
        <v>172</v>
      </c>
      <c r="B28" s="6">
        <v>99500</v>
      </c>
      <c r="C28" s="6">
        <v>451242</v>
      </c>
      <c r="D28" s="7"/>
      <c r="E28" s="35">
        <f>Nonlinear_Risk_Reg_Analysis!$B$35+Nonlinear_Risk_Reg_Analysis!$B$34*LN(B28)</f>
        <v>448824.38439215207</v>
      </c>
      <c r="F28" s="35">
        <f t="shared" si="0"/>
        <v>2417.6156078479253</v>
      </c>
    </row>
    <row r="29" spans="1:6" x14ac:dyDescent="0.3">
      <c r="A29" s="7" t="s">
        <v>173</v>
      </c>
      <c r="B29" s="6">
        <v>104000</v>
      </c>
      <c r="C29" s="6">
        <v>445758</v>
      </c>
      <c r="D29" s="7"/>
      <c r="E29" s="35">
        <f>Nonlinear_Risk_Reg_Analysis!$B$35+Nonlinear_Risk_Reg_Analysis!$B$34*LN(B29)</f>
        <v>453854.9122560937</v>
      </c>
      <c r="F29" s="35">
        <f t="shared" si="0"/>
        <v>-8096.9122560936958</v>
      </c>
    </row>
    <row r="30" spans="1:6" x14ac:dyDescent="0.3">
      <c r="A30" s="7" t="s">
        <v>174</v>
      </c>
      <c r="B30" s="6">
        <v>108500</v>
      </c>
      <c r="C30" s="6">
        <v>453142</v>
      </c>
      <c r="D30" s="7"/>
      <c r="E30" s="35">
        <f>Nonlinear_Risk_Reg_Analysis!$B$35+Nonlinear_Risk_Reg_Analysis!$B$34*LN(B30)</f>
        <v>458672.31733866758</v>
      </c>
      <c r="F30" s="35">
        <f t="shared" si="0"/>
        <v>-5530.3173386675771</v>
      </c>
    </row>
    <row r="33" spans="1:2" ht="15.6" x14ac:dyDescent="0.3">
      <c r="A33" s="12" t="s">
        <v>215</v>
      </c>
    </row>
    <row r="35" spans="1:2" ht="28.8" x14ac:dyDescent="0.3">
      <c r="A35" s="13" t="s">
        <v>64</v>
      </c>
      <c r="B35" s="24" t="s">
        <v>419</v>
      </c>
    </row>
    <row r="36" spans="1:2" ht="28.8" x14ac:dyDescent="0.3">
      <c r="A36" s="13" t="s">
        <v>216</v>
      </c>
      <c r="B36" s="24" t="s">
        <v>420</v>
      </c>
    </row>
    <row r="37" spans="1:2" x14ac:dyDescent="0.3">
      <c r="A37" s="13" t="s">
        <v>217</v>
      </c>
      <c r="B37" s="24" t="s">
        <v>421</v>
      </c>
    </row>
    <row r="38" spans="1:2" x14ac:dyDescent="0.3">
      <c r="A38" s="13" t="s">
        <v>422</v>
      </c>
      <c r="B38" s="24" t="str">
        <f>"A 10% increase in marketing spend is associated with approximately "&amp;TEXT(Nonlinear_Risk_Reg_Analysis!$B$34*LN(1.1),"$#,##0")&amp;" higher sales within the observed range."</f>
        <v>A 10% increase in marketing spend is associated with approximately $10,839 higher sales within the observed range.</v>
      </c>
    </row>
    <row r="39" spans="1:2" x14ac:dyDescent="0.3">
      <c r="A39" s="13" t="s">
        <v>219</v>
      </c>
      <c r="B39" s="24" t="str">
        <f>"Estimated Sales = "&amp;TEXT(Nonlinear_Risk_Reg_Analysis!$B$35,"$#,##0")&amp;" + "&amp;TEXT(Nonlinear_Risk_Reg_Analysis!$B$34,"$#,##0")&amp;" × LN(Marketing Spend)"</f>
        <v>Estimated Sales = -$859,939 + $113,727 × LN(Marketing Spend)</v>
      </c>
    </row>
    <row r="40" spans="1:2" x14ac:dyDescent="0.3">
      <c r="A40" s="13" t="s">
        <v>423</v>
      </c>
      <c r="B40" s="24" t="str">
        <f>"An additional $1,000 is associated with about "&amp;TEXT(Nonlinear_Risk_Reg_Analysis!$B$40,"$#,##0")&amp;" at $10,000 spend, "&amp;TEXT(Nonlinear_Risk_Reg_Analysis!$B$42,"$#,##0")&amp;" at $50,000, and "&amp;TEXT(Nonlinear_Risk_Reg_Analysis!$B$44,"$#,##0")&amp;" at $100,000."</f>
        <v>An additional $1,000 is associated with about $10,839 at $10,000 spend, $2,252 at $50,000, and $1,132 at $100,000.</v>
      </c>
    </row>
    <row r="41" spans="1:2" x14ac:dyDescent="0.3">
      <c r="A41" s="13" t="s">
        <v>220</v>
      </c>
      <c r="B41" s="24" t="str">
        <f>"The log model explains "&amp;TEXT(Nonlinear_Risk_Reg_Analysis!$B$8,"0.0%")&amp;" of sales variation, with typical error of "&amp;TEXT(Nonlinear_Risk_Reg_Analysis!$B$10,"$#,##0")&amp;" and six-market holdout RMSE of "&amp;TEXT(Nonlinear_Risk_Reg_Analysis!$B$13,"$#,##0")&amp;"."</f>
        <v>The log model explains 99.0% of sales variation, with typical error of $9,479 and six-market holdout RMSE of $6,279.</v>
      </c>
    </row>
    <row r="42" spans="1:2" ht="28.8" x14ac:dyDescent="0.3">
      <c r="A42" s="13" t="s">
        <v>424</v>
      </c>
      <c r="B42" s="24" t="str">
        <f>"A straight-line model explains only "&amp;TEXT(Nonlinear_Risk_Reg_Analysis!$B$18,"0.0%")&amp;" and has typical error of "&amp;TEXT(Nonlinear_Risk_Reg_Analysis!$B$19,"$#,##0")&amp;". Its residuals are systematically negative at low/high spend and positive in the middle."</f>
        <v>A straight-line model explains only 87.5% and has typical error of $33,525. Its residuals are systematically negative at low/high spend and positive in the middle.</v>
      </c>
    </row>
    <row r="43" spans="1:2" ht="28.8" x14ac:dyDescent="0.3">
      <c r="A43" s="13" t="s">
        <v>307</v>
      </c>
      <c r="B43" s="24" t="str">
        <f>"Fitted values are shown in E7:E30. For scenarios inside the observed spend range, use an approximate range of predicted sales ±"&amp;TEXT(2*Nonlinear_Risk_Reg_Analysis!$B$10,"$#,##0")&amp;"."</f>
        <v>Fitted values are shown in E7:E30. For scenarios inside the observed spend range, use an approximate range of predicted sales ±$18,957.</v>
      </c>
    </row>
    <row r="44" spans="1:2" ht="29.4" thickBot="1" x14ac:dyDescent="0.35">
      <c r="A44" s="13" t="s">
        <v>223</v>
      </c>
      <c r="B44" s="24" t="s">
        <v>425</v>
      </c>
    </row>
    <row r="45" spans="1:2" ht="15" thickBot="1" x14ac:dyDescent="0.35">
      <c r="A45" s="13" t="s">
        <v>224</v>
      </c>
      <c r="B45" s="29" t="s">
        <v>47</v>
      </c>
    </row>
    <row r="46" spans="1:2" ht="28.8" x14ac:dyDescent="0.3">
      <c r="A46" s="13" t="s">
        <v>225</v>
      </c>
      <c r="B46" s="24" t="s">
        <v>426</v>
      </c>
    </row>
  </sheetData>
  <autoFilter ref="A6:C30" xr:uid="{00000000-0009-0000-0000-000007000000}"/>
  <mergeCells count="4">
    <mergeCell ref="B4:C4"/>
    <mergeCell ref="A2:F2"/>
    <mergeCell ref="B3:C3"/>
    <mergeCell ref="A1:F1"/>
  </mergeCell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B9F2-8D5B-4474-A56B-262697204FD0}">
  <sheetPr>
    <tabColor theme="9"/>
  </sheetPr>
  <dimension ref="A1:G82"/>
  <sheetViews>
    <sheetView topLeftCell="A16" workbookViewId="0">
      <selection activeCell="B43" sqref="B43"/>
    </sheetView>
  </sheetViews>
  <sheetFormatPr defaultRowHeight="14.4" x14ac:dyDescent="0.3"/>
  <cols>
    <col min="1" max="1" width="28.6640625" customWidth="1"/>
    <col min="2" max="2" width="35.21875" customWidth="1"/>
    <col min="3" max="3" width="51.88671875" customWidth="1"/>
    <col min="4" max="5" width="22.21875" customWidth="1"/>
    <col min="6" max="7" width="50.88671875" customWidth="1"/>
  </cols>
  <sheetData>
    <row r="1" spans="1:2" ht="18" x14ac:dyDescent="0.35">
      <c r="A1" s="14" t="s">
        <v>427</v>
      </c>
    </row>
    <row r="3" spans="1:2" x14ac:dyDescent="0.3">
      <c r="A3" s="15" t="s">
        <v>312</v>
      </c>
    </row>
    <row r="4" spans="1:2" x14ac:dyDescent="0.3">
      <c r="A4" s="13" t="s">
        <v>228</v>
      </c>
      <c r="B4" t="s">
        <v>70</v>
      </c>
    </row>
    <row r="5" spans="1:2" ht="28.8" x14ac:dyDescent="0.3">
      <c r="A5" s="13" t="s">
        <v>428</v>
      </c>
      <c r="B5" s="24" t="s">
        <v>429</v>
      </c>
    </row>
    <row r="6" spans="1:2" x14ac:dyDescent="0.3">
      <c r="A6" s="13" t="s">
        <v>231</v>
      </c>
      <c r="B6" s="24" t="s">
        <v>430</v>
      </c>
    </row>
    <row r="7" spans="1:2" x14ac:dyDescent="0.3">
      <c r="A7" s="13" t="s">
        <v>232</v>
      </c>
      <c r="B7" s="30">
        <f>COUNT(Nonlinear_Risk!B7:B30)</f>
        <v>24</v>
      </c>
    </row>
    <row r="8" spans="1:2" x14ac:dyDescent="0.3">
      <c r="A8" s="13" t="s">
        <v>233</v>
      </c>
      <c r="B8" s="31">
        <f>RSQ(Nonlinear_Risk!C7:C30,LN(Nonlinear_Risk!B7:B30))</f>
        <v>0.98998945801589133</v>
      </c>
    </row>
    <row r="9" spans="1:2" x14ac:dyDescent="0.3">
      <c r="A9" s="13" t="s">
        <v>234</v>
      </c>
      <c r="B9" s="31">
        <f>1-(1-B8)*(B7-1)/(B7-2)</f>
        <v>0.98953443338025004</v>
      </c>
    </row>
    <row r="10" spans="1:2" x14ac:dyDescent="0.3">
      <c r="A10" s="13" t="s">
        <v>277</v>
      </c>
      <c r="B10" s="32">
        <f>STEYX(Nonlinear_Risk!C7:C30,LN(Nonlinear_Risk!B7:B30))</f>
        <v>9478.5469651512212</v>
      </c>
    </row>
    <row r="11" spans="1:2" ht="43.2" x14ac:dyDescent="0.3">
      <c r="A11" s="13" t="s">
        <v>236</v>
      </c>
      <c r="B11" s="24" t="s">
        <v>431</v>
      </c>
    </row>
    <row r="12" spans="1:2" x14ac:dyDescent="0.3">
      <c r="A12" s="13" t="s">
        <v>257</v>
      </c>
      <c r="B12" s="32">
        <f>SUMPRODUCT(ABS(E77:E82))/COUNT(E77:E82)</f>
        <v>5286.9633813779028</v>
      </c>
    </row>
    <row r="13" spans="1:2" x14ac:dyDescent="0.3">
      <c r="A13" s="13" t="s">
        <v>258</v>
      </c>
      <c r="B13" s="32">
        <f>SQRT(SUMSQ(E77:E82)/COUNT(E77:E82))</f>
        <v>6279.4091807880486</v>
      </c>
    </row>
    <row r="14" spans="1:2" x14ac:dyDescent="0.3">
      <c r="A14" s="13" t="s">
        <v>224</v>
      </c>
      <c r="B14" s="33" t="s">
        <v>47</v>
      </c>
    </row>
    <row r="17" spans="1:7" x14ac:dyDescent="0.3">
      <c r="A17" s="15" t="s">
        <v>432</v>
      </c>
    </row>
    <row r="18" spans="1:7" x14ac:dyDescent="0.3">
      <c r="A18" s="13" t="s">
        <v>433</v>
      </c>
      <c r="B18" s="17">
        <f>RSQ(Nonlinear_Risk!C7:C30,Nonlinear_Risk!B7:B30)</f>
        <v>0.87476837801014828</v>
      </c>
    </row>
    <row r="19" spans="1:7" x14ac:dyDescent="0.3">
      <c r="A19" s="13" t="s">
        <v>434</v>
      </c>
      <c r="B19" s="28">
        <f>STEYX(Nonlinear_Risk!C7:C30,Nonlinear_Risk!B7:B30)</f>
        <v>33525.091619218809</v>
      </c>
    </row>
    <row r="20" spans="1:7" x14ac:dyDescent="0.3">
      <c r="A20" s="13" t="s">
        <v>435</v>
      </c>
      <c r="B20" s="28">
        <v>84001.659974399998</v>
      </c>
    </row>
    <row r="21" spans="1:7" x14ac:dyDescent="0.3">
      <c r="A21" s="13" t="s">
        <v>436</v>
      </c>
      <c r="B21" s="17">
        <f>B8</f>
        <v>0.98998945801589133</v>
      </c>
    </row>
    <row r="22" spans="1:7" x14ac:dyDescent="0.3">
      <c r="A22" s="13" t="s">
        <v>437</v>
      </c>
      <c r="B22" s="28">
        <f>B10</f>
        <v>9478.5469651512212</v>
      </c>
    </row>
    <row r="23" spans="1:7" x14ac:dyDescent="0.3">
      <c r="A23" s="13" t="s">
        <v>438</v>
      </c>
      <c r="B23" s="28">
        <f>B13</f>
        <v>6279.4091807880486</v>
      </c>
    </row>
    <row r="26" spans="1:7" x14ac:dyDescent="0.3">
      <c r="A26" s="15" t="s">
        <v>314</v>
      </c>
    </row>
    <row r="27" spans="1:7" x14ac:dyDescent="0.3">
      <c r="A27" s="13" t="s">
        <v>238</v>
      </c>
      <c r="B27" s="13" t="s">
        <v>239</v>
      </c>
      <c r="C27" s="13" t="s">
        <v>240</v>
      </c>
      <c r="D27" s="13" t="s">
        <v>241</v>
      </c>
      <c r="E27" s="13" t="s">
        <v>242</v>
      </c>
      <c r="F27" s="13" t="s">
        <v>279</v>
      </c>
      <c r="G27" s="13" t="s">
        <v>244</v>
      </c>
    </row>
    <row r="28" spans="1:7" ht="28.8" x14ac:dyDescent="0.3">
      <c r="A28">
        <v>1</v>
      </c>
      <c r="B28" t="s">
        <v>430</v>
      </c>
      <c r="C28" t="s">
        <v>439</v>
      </c>
      <c r="D28" s="28">
        <f>B34</f>
        <v>113727.2820319757</v>
      </c>
      <c r="E28" t="s">
        <v>280</v>
      </c>
      <c r="F28" s="24" t="str">
        <f>"A 10% increase in spend is associated with approximately "&amp;TEXT(D28*LN(1.1),"$#,##0")&amp;" higher sales."</f>
        <v>A 10% increase in spend is associated with approximately $10,839 higher sales.</v>
      </c>
      <c r="G28" s="24" t="s">
        <v>440</v>
      </c>
    </row>
    <row r="31" spans="1:7" x14ac:dyDescent="0.3">
      <c r="A31" s="15" t="s">
        <v>316</v>
      </c>
    </row>
    <row r="32" spans="1:7" x14ac:dyDescent="0.3">
      <c r="A32" s="13" t="s">
        <v>247</v>
      </c>
      <c r="B32" s="13" t="s">
        <v>248</v>
      </c>
      <c r="C32" s="13" t="s">
        <v>284</v>
      </c>
    </row>
    <row r="33" spans="1:7" ht="28.8" x14ac:dyDescent="0.3">
      <c r="A33" t="s">
        <v>249</v>
      </c>
      <c r="B33" t="s">
        <v>441</v>
      </c>
      <c r="C33" s="24" t="s">
        <v>442</v>
      </c>
    </row>
    <row r="34" spans="1:7" x14ac:dyDescent="0.3">
      <c r="A34" t="s">
        <v>443</v>
      </c>
      <c r="B34" s="28">
        <f>SLOPE(Nonlinear_Risk!C7:C30,LN(Nonlinear_Risk!B7:B30))</f>
        <v>113727.2820319757</v>
      </c>
      <c r="C34" s="28">
        <f>INDEX(LINEST(Nonlinear_Risk!C7:C30,LN(Nonlinear_Risk!B7:B30),TRUE,TRUE),2,1)</f>
        <v>2438.1859838496716</v>
      </c>
      <c r="D34" s="21">
        <f>B34/C34</f>
        <v>46.644219425956493</v>
      </c>
      <c r="E34" s="22">
        <f>_xlfn.T.DIST.2T(ABS(D34),B7-2)</f>
        <v>1.7093487088511775E-23</v>
      </c>
      <c r="F34" s="28">
        <f>B34-_xlfn.T.INV.2T(0.05,B7-2)*C34</f>
        <v>108670.79378552879</v>
      </c>
      <c r="G34" s="28">
        <f>B34+_xlfn.T.INV.2T(0.05,B7-2)*C34</f>
        <v>118783.77027842261</v>
      </c>
    </row>
    <row r="35" spans="1:7" x14ac:dyDescent="0.3">
      <c r="A35" t="s">
        <v>444</v>
      </c>
      <c r="B35" s="26">
        <f>INTERCEPT(Nonlinear_Risk!C7:C30,LN(Nonlinear_Risk!B7:B30))</f>
        <v>-859939.27421796881</v>
      </c>
    </row>
    <row r="37" spans="1:7" x14ac:dyDescent="0.3">
      <c r="A37" s="15" t="s">
        <v>445</v>
      </c>
    </row>
    <row r="38" spans="1:7" x14ac:dyDescent="0.3">
      <c r="A38" s="13" t="s">
        <v>446</v>
      </c>
      <c r="B38" s="13" t="s">
        <v>447</v>
      </c>
    </row>
    <row r="40" spans="1:7" x14ac:dyDescent="0.3">
      <c r="A40" s="28">
        <v>10000</v>
      </c>
      <c r="B40" s="28">
        <f>$B$34*LN((A40+1000)/A40)</f>
        <v>10839.367699124776</v>
      </c>
    </row>
    <row r="41" spans="1:7" x14ac:dyDescent="0.3">
      <c r="A41" s="28">
        <v>25000</v>
      </c>
      <c r="B41" s="28">
        <f>$B$34*LN((A41+1000)/A41)</f>
        <v>4460.4651062784451</v>
      </c>
    </row>
    <row r="42" spans="1:7" x14ac:dyDescent="0.3">
      <c r="A42" s="28">
        <v>50000</v>
      </c>
      <c r="B42" s="28">
        <f>$B$34*LN((A42+1000)/A42)</f>
        <v>2252.0989794867323</v>
      </c>
    </row>
    <row r="43" spans="1:7" x14ac:dyDescent="0.3">
      <c r="A43" s="28">
        <v>75000</v>
      </c>
      <c r="B43" s="28">
        <f>$B$34*LN((A43+1000)/A43)</f>
        <v>1506.3436381770757</v>
      </c>
    </row>
    <row r="44" spans="1:7" x14ac:dyDescent="0.3">
      <c r="A44" s="28">
        <v>100000</v>
      </c>
      <c r="B44" s="28">
        <f>$B$34*LN((A44+1000)/A44)</f>
        <v>1131.6240832497169</v>
      </c>
    </row>
    <row r="47" spans="1:7" x14ac:dyDescent="0.3">
      <c r="A47" s="15" t="s">
        <v>448</v>
      </c>
    </row>
    <row r="48" spans="1:7" x14ac:dyDescent="0.3">
      <c r="A48" s="13" t="s">
        <v>150</v>
      </c>
      <c r="B48" s="13" t="s">
        <v>366</v>
      </c>
      <c r="C48" s="13" t="s">
        <v>214</v>
      </c>
      <c r="D48" s="13" t="s">
        <v>449</v>
      </c>
      <c r="E48" s="13" t="s">
        <v>261</v>
      </c>
    </row>
    <row r="49" spans="1:5" x14ac:dyDescent="0.3">
      <c r="A49" t="str">
        <f>Nonlinear_Risk!A7</f>
        <v>Market 01</v>
      </c>
      <c r="B49" s="28">
        <f>Nonlinear_Risk!B7</f>
        <v>5000</v>
      </c>
      <c r="C49" s="28">
        <f>Nonlinear_Risk!C7</f>
        <v>132777</v>
      </c>
      <c r="D49" s="28">
        <f>$B$35+$B$34*LN(B49)</f>
        <v>108697.95798304887</v>
      </c>
      <c r="E49" s="26">
        <f>C49-D49</f>
        <v>24079.042016951134</v>
      </c>
    </row>
    <row r="50" spans="1:5" x14ac:dyDescent="0.3">
      <c r="A50" t="str">
        <f>Nonlinear_Risk!A8</f>
        <v>Market 02</v>
      </c>
      <c r="B50" s="28">
        <f>Nonlinear_Risk!B8</f>
        <v>9500</v>
      </c>
      <c r="C50" s="28">
        <f>Nonlinear_Risk!C8</f>
        <v>181338</v>
      </c>
      <c r="D50" s="28">
        <f t="shared" ref="D50:D72" si="0">$B$35+$B$34*LN(B50)</f>
        <v>181694.25591909629</v>
      </c>
      <c r="E50" s="26">
        <f t="shared" ref="E50:E72" si="1">C50-D50</f>
        <v>-356.25591909629293</v>
      </c>
    </row>
    <row r="51" spans="1:5" x14ac:dyDescent="0.3">
      <c r="A51" t="str">
        <f>Nonlinear_Risk!A9</f>
        <v>Market 03</v>
      </c>
      <c r="B51" s="28">
        <f>Nonlinear_Risk!B9</f>
        <v>14000</v>
      </c>
      <c r="C51" s="28">
        <f>Nonlinear_Risk!C9</f>
        <v>210032</v>
      </c>
      <c r="D51" s="28">
        <f t="shared" si="0"/>
        <v>225793.77582640876</v>
      </c>
      <c r="E51" s="26">
        <f t="shared" si="1"/>
        <v>-15761.775826408761</v>
      </c>
    </row>
    <row r="52" spans="1:5" x14ac:dyDescent="0.3">
      <c r="A52" t="str">
        <f>Nonlinear_Risk!A10</f>
        <v>Market 04</v>
      </c>
      <c r="B52" s="28">
        <f>Nonlinear_Risk!B10</f>
        <v>18500</v>
      </c>
      <c r="C52" s="28">
        <f>Nonlinear_Risk!C10</f>
        <v>247897</v>
      </c>
      <c r="D52" s="28">
        <f t="shared" si="0"/>
        <v>257491.09355509467</v>
      </c>
      <c r="E52" s="26">
        <f t="shared" si="1"/>
        <v>-9594.0935550946742</v>
      </c>
    </row>
    <row r="53" spans="1:5" x14ac:dyDescent="0.3">
      <c r="A53" t="str">
        <f>Nonlinear_Risk!A11</f>
        <v>Market 05</v>
      </c>
      <c r="B53" s="28">
        <f>Nonlinear_Risk!B11</f>
        <v>23000</v>
      </c>
      <c r="C53" s="28">
        <f>Nonlinear_Risk!C11</f>
        <v>266306</v>
      </c>
      <c r="D53" s="28">
        <f t="shared" si="0"/>
        <v>282252.19360730448</v>
      </c>
      <c r="E53" s="26">
        <f t="shared" si="1"/>
        <v>-15946.193607304478</v>
      </c>
    </row>
    <row r="54" spans="1:5" x14ac:dyDescent="0.3">
      <c r="A54" t="str">
        <f>Nonlinear_Risk!A12</f>
        <v>Market 06</v>
      </c>
      <c r="B54" s="28">
        <f>Nonlinear_Risk!B12</f>
        <v>27500</v>
      </c>
      <c r="C54" s="28">
        <f>Nonlinear_Risk!C12</f>
        <v>294777</v>
      </c>
      <c r="D54" s="28">
        <f t="shared" si="0"/>
        <v>302574.3250625208</v>
      </c>
      <c r="E54" s="26">
        <f t="shared" si="1"/>
        <v>-7797.325062520802</v>
      </c>
    </row>
    <row r="55" spans="1:5" x14ac:dyDescent="0.3">
      <c r="A55" t="str">
        <f>Nonlinear_Risk!A13</f>
        <v>Market 07</v>
      </c>
      <c r="B55" s="28">
        <f>Nonlinear_Risk!B13</f>
        <v>32000</v>
      </c>
      <c r="C55" s="28">
        <f>Nonlinear_Risk!C13</f>
        <v>307277</v>
      </c>
      <c r="D55" s="28">
        <f t="shared" si="0"/>
        <v>319809.68306875019</v>
      </c>
      <c r="E55" s="26">
        <f t="shared" si="1"/>
        <v>-12532.683068750193</v>
      </c>
    </row>
    <row r="56" spans="1:5" x14ac:dyDescent="0.3">
      <c r="A56" t="str">
        <f>Nonlinear_Risk!A14</f>
        <v>Market 08</v>
      </c>
      <c r="B56" s="28">
        <f>Nonlinear_Risk!B14</f>
        <v>36500</v>
      </c>
      <c r="C56" s="28">
        <f>Nonlinear_Risk!C14</f>
        <v>335334</v>
      </c>
      <c r="D56" s="28">
        <f t="shared" si="0"/>
        <v>334773.50461972784</v>
      </c>
      <c r="E56" s="26">
        <f t="shared" si="1"/>
        <v>560.49538027215749</v>
      </c>
    </row>
    <row r="57" spans="1:5" x14ac:dyDescent="0.3">
      <c r="A57" t="str">
        <f>Nonlinear_Risk!A15</f>
        <v>Market 09</v>
      </c>
      <c r="B57" s="28">
        <f>Nonlinear_Risk!B15</f>
        <v>41000</v>
      </c>
      <c r="C57" s="28">
        <f>Nonlinear_Risk!C15</f>
        <v>345934</v>
      </c>
      <c r="D57" s="28">
        <f t="shared" si="0"/>
        <v>347995.41637884942</v>
      </c>
      <c r="E57" s="26">
        <f t="shared" si="1"/>
        <v>-2061.4163788494188</v>
      </c>
    </row>
    <row r="58" spans="1:5" x14ac:dyDescent="0.3">
      <c r="A58" t="str">
        <f>Nonlinear_Risk!A16</f>
        <v>Market 10</v>
      </c>
      <c r="B58" s="28">
        <f>Nonlinear_Risk!B16</f>
        <v>45500</v>
      </c>
      <c r="C58" s="28">
        <f>Nonlinear_Risk!C16</f>
        <v>367830</v>
      </c>
      <c r="D58" s="28">
        <f t="shared" si="0"/>
        <v>359839.0050137525</v>
      </c>
      <c r="E58" s="26">
        <f t="shared" si="1"/>
        <v>7990.9949862475041</v>
      </c>
    </row>
    <row r="59" spans="1:5" x14ac:dyDescent="0.3">
      <c r="A59" t="str">
        <f>Nonlinear_Risk!A17</f>
        <v>Market 11</v>
      </c>
      <c r="B59" s="28">
        <f>Nonlinear_Risk!B17</f>
        <v>50000</v>
      </c>
      <c r="C59" s="28">
        <f>Nonlinear_Risk!C17</f>
        <v>372146</v>
      </c>
      <c r="D59" s="28">
        <f t="shared" si="0"/>
        <v>370564.70225660573</v>
      </c>
      <c r="E59" s="26">
        <f t="shared" si="1"/>
        <v>1581.2977433942724</v>
      </c>
    </row>
    <row r="60" spans="1:5" x14ac:dyDescent="0.3">
      <c r="A60" t="str">
        <f>Nonlinear_Risk!A18</f>
        <v>Market 12</v>
      </c>
      <c r="B60" s="28">
        <f>Nonlinear_Risk!B18</f>
        <v>54500</v>
      </c>
      <c r="C60" s="28">
        <f>Nonlinear_Risk!C18</f>
        <v>388180</v>
      </c>
      <c r="D60" s="28">
        <f t="shared" si="0"/>
        <v>380365.45742187765</v>
      </c>
      <c r="E60" s="26">
        <f t="shared" si="1"/>
        <v>7814.5425781223457</v>
      </c>
    </row>
    <row r="61" spans="1:5" x14ac:dyDescent="0.3">
      <c r="A61" t="str">
        <f>Nonlinear_Risk!A19</f>
        <v>Market 13</v>
      </c>
      <c r="B61" s="28">
        <f>Nonlinear_Risk!B19</f>
        <v>59000</v>
      </c>
      <c r="C61" s="28">
        <f>Nonlinear_Risk!C19</f>
        <v>389706</v>
      </c>
      <c r="D61" s="28">
        <f t="shared" si="0"/>
        <v>389388.20948170871</v>
      </c>
      <c r="E61" s="26">
        <f t="shared" si="1"/>
        <v>317.79051829129457</v>
      </c>
    </row>
    <row r="62" spans="1:5" x14ac:dyDescent="0.3">
      <c r="A62" t="str">
        <f>Nonlinear_Risk!A20</f>
        <v>Market 14</v>
      </c>
      <c r="B62" s="28">
        <f>Nonlinear_Risk!B20</f>
        <v>63500</v>
      </c>
      <c r="C62" s="28">
        <f>Nonlinear_Risk!C20</f>
        <v>408077</v>
      </c>
      <c r="D62" s="28">
        <f t="shared" si="0"/>
        <v>397747.44470682275</v>
      </c>
      <c r="E62" s="26">
        <f t="shared" si="1"/>
        <v>10329.555293177254</v>
      </c>
    </row>
    <row r="63" spans="1:5" x14ac:dyDescent="0.3">
      <c r="A63" t="str">
        <f>Nonlinear_Risk!A21</f>
        <v>Market 15</v>
      </c>
      <c r="B63" s="28">
        <f>Nonlinear_Risk!B21</f>
        <v>68000</v>
      </c>
      <c r="C63" s="28">
        <f>Nonlinear_Risk!C21</f>
        <v>410129</v>
      </c>
      <c r="D63" s="28">
        <f t="shared" si="0"/>
        <v>405534.10142535926</v>
      </c>
      <c r="E63" s="26">
        <f t="shared" si="1"/>
        <v>4594.8985746407416</v>
      </c>
    </row>
    <row r="64" spans="1:5" x14ac:dyDescent="0.3">
      <c r="A64" t="str">
        <f>Nonlinear_Risk!A22</f>
        <v>Market 16</v>
      </c>
      <c r="B64" s="28">
        <f>Nonlinear_Risk!B22</f>
        <v>72500</v>
      </c>
      <c r="C64" s="28">
        <f>Nonlinear_Risk!C22</f>
        <v>424482</v>
      </c>
      <c r="D64" s="28">
        <f t="shared" si="0"/>
        <v>412821.61563180643</v>
      </c>
      <c r="E64" s="26">
        <f t="shared" si="1"/>
        <v>11660.384368193569</v>
      </c>
    </row>
    <row r="65" spans="1:5" x14ac:dyDescent="0.3">
      <c r="A65" t="str">
        <f>Nonlinear_Risk!A23</f>
        <v>Market 17</v>
      </c>
      <c r="B65" s="28">
        <f>Nonlinear_Risk!B23</f>
        <v>77000</v>
      </c>
      <c r="C65" s="28">
        <f>Nonlinear_Risk!C23</f>
        <v>422141</v>
      </c>
      <c r="D65" s="28">
        <f t="shared" si="0"/>
        <v>419670.1429058807</v>
      </c>
      <c r="E65" s="26">
        <f t="shared" si="1"/>
        <v>2470.8570941193029</v>
      </c>
    </row>
    <row r="66" spans="1:5" x14ac:dyDescent="0.3">
      <c r="A66" t="str">
        <f>Nonlinear_Risk!A24</f>
        <v>Market 18</v>
      </c>
      <c r="B66" s="28">
        <f>Nonlinear_Risk!B24</f>
        <v>81500</v>
      </c>
      <c r="C66" s="28">
        <f>Nonlinear_Risk!C24</f>
        <v>432301</v>
      </c>
      <c r="D66" s="28">
        <f t="shared" si="0"/>
        <v>426129.57939707558</v>
      </c>
      <c r="E66" s="26">
        <f t="shared" si="1"/>
        <v>6171.4206029244233</v>
      </c>
    </row>
    <row r="67" spans="1:5" x14ac:dyDescent="0.3">
      <c r="A67" t="str">
        <f>Nonlinear_Risk!A25</f>
        <v>Market 19</v>
      </c>
      <c r="B67" s="28">
        <f>Nonlinear_Risk!B25</f>
        <v>86000</v>
      </c>
      <c r="C67" s="28">
        <f>Nonlinear_Risk!C25</f>
        <v>428642</v>
      </c>
      <c r="D67" s="28">
        <f t="shared" si="0"/>
        <v>432241.7698320928</v>
      </c>
      <c r="E67" s="26">
        <f t="shared" si="1"/>
        <v>-3599.769832092803</v>
      </c>
    </row>
    <row r="68" spans="1:5" x14ac:dyDescent="0.3">
      <c r="A68" t="str">
        <f>Nonlinear_Risk!A26</f>
        <v>Market 20</v>
      </c>
      <c r="B68" s="28">
        <f>Nonlinear_Risk!B26</f>
        <v>90500</v>
      </c>
      <c r="C68" s="28">
        <f>Nonlinear_Risk!C26</f>
        <v>442438</v>
      </c>
      <c r="D68" s="28">
        <f t="shared" ref="D68:D69" si="2">$B$35+$B$34*LN(B68)</f>
        <v>438042.15172664891</v>
      </c>
      <c r="E68" s="26">
        <f t="shared" ref="E68:E69" si="3">C68-D68</f>
        <v>4395.84827335109</v>
      </c>
    </row>
    <row r="69" spans="1:5" x14ac:dyDescent="0.3">
      <c r="A69" t="str">
        <f>Nonlinear_Risk!A27</f>
        <v>Market 21</v>
      </c>
      <c r="B69" s="28">
        <f>Nonlinear_Risk!B27</f>
        <v>95000</v>
      </c>
      <c r="C69" s="28">
        <f>Nonlinear_Risk!C27</f>
        <v>440453</v>
      </c>
      <c r="D69" s="28">
        <f t="shared" si="2"/>
        <v>443561.00019265339</v>
      </c>
      <c r="E69" s="26">
        <f t="shared" si="3"/>
        <v>-3108.0001926533878</v>
      </c>
    </row>
    <row r="70" spans="1:5" x14ac:dyDescent="0.3">
      <c r="A70" t="str">
        <f>Nonlinear_Risk!A28</f>
        <v>Market 22</v>
      </c>
      <c r="B70" s="28">
        <f>Nonlinear_Risk!B28</f>
        <v>99500</v>
      </c>
      <c r="C70" s="28">
        <f>Nonlinear_Risk!C28</f>
        <v>451242</v>
      </c>
      <c r="D70" s="28">
        <f t="shared" si="0"/>
        <v>448824.38439215207</v>
      </c>
      <c r="E70" s="26">
        <f t="shared" si="1"/>
        <v>2417.6156078479253</v>
      </c>
    </row>
    <row r="71" spans="1:5" x14ac:dyDescent="0.3">
      <c r="A71" t="str">
        <f>Nonlinear_Risk!A29</f>
        <v>Market 23</v>
      </c>
      <c r="B71" s="28">
        <f>Nonlinear_Risk!B29</f>
        <v>104000</v>
      </c>
      <c r="C71" s="28">
        <f>Nonlinear_Risk!C29</f>
        <v>445758</v>
      </c>
      <c r="D71" s="28">
        <f t="shared" si="0"/>
        <v>453854.9122560937</v>
      </c>
      <c r="E71" s="26">
        <f t="shared" si="1"/>
        <v>-8096.9122560936958</v>
      </c>
    </row>
    <row r="72" spans="1:5" x14ac:dyDescent="0.3">
      <c r="A72" t="str">
        <f>Nonlinear_Risk!A30</f>
        <v>Market 24</v>
      </c>
      <c r="B72" s="28">
        <f>Nonlinear_Risk!B30</f>
        <v>108500</v>
      </c>
      <c r="C72" s="28">
        <f>Nonlinear_Risk!C30</f>
        <v>453142</v>
      </c>
      <c r="D72" s="28">
        <f t="shared" si="0"/>
        <v>458672.31733866758</v>
      </c>
      <c r="E72" s="26">
        <f t="shared" si="1"/>
        <v>-5530.3173386675771</v>
      </c>
    </row>
    <row r="76" spans="1:5" x14ac:dyDescent="0.3">
      <c r="A76" s="13" t="s">
        <v>450</v>
      </c>
      <c r="B76" s="13" t="s">
        <v>214</v>
      </c>
      <c r="C76" s="13" t="s">
        <v>260</v>
      </c>
      <c r="D76" s="13" t="s">
        <v>261</v>
      </c>
      <c r="E76" s="13" t="s">
        <v>303</v>
      </c>
    </row>
    <row r="77" spans="1:5" x14ac:dyDescent="0.3">
      <c r="A77" t="str">
        <f>Nonlinear_Risk!A25</f>
        <v>Market 19</v>
      </c>
      <c r="B77" s="28">
        <f>Nonlinear_Risk!C25</f>
        <v>428642</v>
      </c>
      <c r="C77" s="28">
        <f>INTERCEPT(Nonlinear_Risk!$C$7:$C$24,LN(Nonlinear_Risk!$B$7:$B$24))+SLOPE(Nonlinear_Risk!$C$7:$C$24,LN(Nonlinear_Risk!$B$7:$B$24))*LN(Nonlinear_Risk!B25)</f>
        <v>434295.08361417428</v>
      </c>
      <c r="D77" s="26">
        <f>B77-C77</f>
        <v>-5653.0836141742766</v>
      </c>
      <c r="E77" s="28">
        <f>ABS(D77)</f>
        <v>5653.0836141742766</v>
      </c>
    </row>
    <row r="78" spans="1:5" x14ac:dyDescent="0.3">
      <c r="A78" t="str">
        <f>Nonlinear_Risk!A26</f>
        <v>Market 20</v>
      </c>
      <c r="B78" s="28">
        <f>Nonlinear_Risk!C26</f>
        <v>442438</v>
      </c>
      <c r="C78" s="28">
        <f>INTERCEPT(Nonlinear_Risk!$C$7:$C$24,LN(Nonlinear_Risk!$B$7:$B$24))+SLOPE(Nonlinear_Risk!$C$7:$C$24,LN(Nonlinear_Risk!$B$7:$B$24))*LN(Nonlinear_Risk!B26)</f>
        <v>440168.66673363699</v>
      </c>
      <c r="D78" s="26">
        <f t="shared" ref="D78:D82" si="4">B78-C78</f>
        <v>2269.3332663630135</v>
      </c>
      <c r="E78" s="28">
        <f t="shared" ref="E78:E82" si="5">ABS(D78)</f>
        <v>2269.3332663630135</v>
      </c>
    </row>
    <row r="79" spans="1:5" x14ac:dyDescent="0.3">
      <c r="A79" t="str">
        <f>Nonlinear_Risk!A27</f>
        <v>Market 21</v>
      </c>
      <c r="B79" s="28">
        <f>Nonlinear_Risk!C27</f>
        <v>440453</v>
      </c>
      <c r="C79" s="28">
        <f>INTERCEPT(Nonlinear_Risk!$C$7:$C$24,LN(Nonlinear_Risk!$B$7:$B$24))+SLOPE(Nonlinear_Risk!$C$7:$C$24,LN(Nonlinear_Risk!$B$7:$B$24))*LN(Nonlinear_Risk!B27)</f>
        <v>445757.16345300269</v>
      </c>
      <c r="D79" s="26">
        <f t="shared" si="4"/>
        <v>-5304.1634530026931</v>
      </c>
      <c r="E79" s="28">
        <f t="shared" si="5"/>
        <v>5304.1634530026931</v>
      </c>
    </row>
    <row r="80" spans="1:5" x14ac:dyDescent="0.3">
      <c r="A80" t="str">
        <f>Nonlinear_Risk!A28</f>
        <v>Market 22</v>
      </c>
      <c r="B80" s="28">
        <f>Nonlinear_Risk!C28</f>
        <v>451242</v>
      </c>
      <c r="C80" s="28">
        <f>INTERCEPT(Nonlinear_Risk!$C$7:$C$24,LN(Nonlinear_Risk!$B$7:$B$24))+SLOPE(Nonlinear_Risk!$C$7:$C$24,LN(Nonlinear_Risk!$B$7:$B$24))*LN(Nonlinear_Risk!B28)</f>
        <v>451086.97192896483</v>
      </c>
      <c r="D80" s="26">
        <f t="shared" si="4"/>
        <v>155.02807103516534</v>
      </c>
      <c r="E80" s="28">
        <f t="shared" si="5"/>
        <v>155.02807103516534</v>
      </c>
    </row>
    <row r="81" spans="1:5" x14ac:dyDescent="0.3">
      <c r="A81" t="str">
        <f>Nonlinear_Risk!A29</f>
        <v>Market 23</v>
      </c>
      <c r="B81" s="28">
        <f>Nonlinear_Risk!C29</f>
        <v>445758</v>
      </c>
      <c r="C81" s="28">
        <f>INTERCEPT(Nonlinear_Risk!$C$7:$C$24,LN(Nonlinear_Risk!$B$7:$B$24))+SLOPE(Nonlinear_Risk!$C$7:$C$24,LN(Nonlinear_Risk!$B$7:$B$24))*LN(Nonlinear_Risk!B29)</f>
        <v>456180.98540614033</v>
      </c>
      <c r="D81" s="26">
        <f t="shared" si="4"/>
        <v>-10422.985406140331</v>
      </c>
      <c r="E81" s="28">
        <f t="shared" si="5"/>
        <v>10422.985406140331</v>
      </c>
    </row>
    <row r="82" spans="1:5" x14ac:dyDescent="0.3">
      <c r="A82" t="str">
        <f>Nonlinear_Risk!A30</f>
        <v>Market 24</v>
      </c>
      <c r="B82" s="28">
        <f>Nonlinear_Risk!C30</f>
        <v>453142</v>
      </c>
      <c r="C82" s="28">
        <f>INTERCEPT(Nonlinear_Risk!$C$7:$C$24,LN(Nonlinear_Risk!$B$7:$B$24))+SLOPE(Nonlinear_Risk!$C$7:$C$24,LN(Nonlinear_Risk!$B$7:$B$24))*LN(Nonlinear_Risk!B30)</f>
        <v>461059.18647755194</v>
      </c>
      <c r="D82" s="26">
        <f t="shared" si="4"/>
        <v>-7917.1864775519352</v>
      </c>
      <c r="E82" s="28">
        <f t="shared" si="5"/>
        <v>7917.1864775519352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G49"/>
  <sheetViews>
    <sheetView showGridLines="0" workbookViewId="0">
      <pane ySplit="6" topLeftCell="A23" activePane="bottomLeft" state="frozen"/>
      <selection pane="bottomLeft" activeCell="B23" sqref="B23"/>
    </sheetView>
  </sheetViews>
  <sheetFormatPr defaultRowHeight="14.4" x14ac:dyDescent="0.3"/>
  <cols>
    <col min="1" max="1" width="26.88671875" customWidth="1"/>
    <col min="2" max="2" width="92.5546875" customWidth="1"/>
    <col min="3" max="3" width="18" customWidth="1"/>
    <col min="4" max="4" width="19" customWidth="1"/>
    <col min="5" max="5" width="21" customWidth="1"/>
    <col min="6" max="6" width="24.44140625" bestFit="1" customWidth="1"/>
    <col min="7" max="7" width="9.109375" bestFit="1" customWidth="1"/>
  </cols>
  <sheetData>
    <row r="1" spans="1:7" ht="28.05" customHeight="1" x14ac:dyDescent="0.3">
      <c r="A1" s="57" t="s">
        <v>175</v>
      </c>
      <c r="B1" s="58"/>
      <c r="C1" s="58"/>
      <c r="D1" s="58"/>
      <c r="E1" s="58"/>
      <c r="F1" s="58"/>
    </row>
    <row r="2" spans="1:7" ht="30" customHeight="1" x14ac:dyDescent="0.3">
      <c r="A2" s="59" t="s">
        <v>63</v>
      </c>
      <c r="B2" s="58"/>
      <c r="C2" s="58"/>
      <c r="D2" s="58"/>
      <c r="E2" s="58"/>
      <c r="F2" s="58"/>
    </row>
    <row r="3" spans="1:7" ht="43.05" customHeight="1" x14ac:dyDescent="0.3">
      <c r="A3" s="4" t="s">
        <v>64</v>
      </c>
      <c r="B3" s="60" t="s">
        <v>176</v>
      </c>
      <c r="C3" s="61"/>
      <c r="D3" s="61"/>
      <c r="E3" s="61"/>
    </row>
    <row r="4" spans="1:7" ht="43.05" customHeight="1" x14ac:dyDescent="0.3">
      <c r="A4" s="4" t="s">
        <v>66</v>
      </c>
      <c r="B4" s="60" t="s">
        <v>177</v>
      </c>
      <c r="C4" s="61"/>
      <c r="D4" s="61"/>
      <c r="E4" s="61"/>
    </row>
    <row r="5" spans="1:7" ht="7.95" customHeight="1" x14ac:dyDescent="0.3"/>
    <row r="6" spans="1:7" ht="34.049999999999997" customHeight="1" x14ac:dyDescent="0.3">
      <c r="A6" s="3" t="s">
        <v>178</v>
      </c>
      <c r="B6" s="3" t="s">
        <v>179</v>
      </c>
      <c r="C6" s="3" t="s">
        <v>180</v>
      </c>
      <c r="D6" s="3" t="s">
        <v>181</v>
      </c>
      <c r="E6" s="3" t="s">
        <v>182</v>
      </c>
      <c r="F6" s="13" t="s">
        <v>452</v>
      </c>
      <c r="G6" s="13" t="s">
        <v>453</v>
      </c>
    </row>
    <row r="7" spans="1:7" x14ac:dyDescent="0.3">
      <c r="A7" s="7" t="s">
        <v>183</v>
      </c>
      <c r="B7" s="10">
        <v>0</v>
      </c>
      <c r="C7" s="10">
        <v>2</v>
      </c>
      <c r="D7" s="6">
        <v>90</v>
      </c>
      <c r="E7" s="10">
        <v>0</v>
      </c>
      <c r="F7" s="8">
        <v>2.3439073449203947E-4</v>
      </c>
      <c r="G7" t="s">
        <v>454</v>
      </c>
    </row>
    <row r="8" spans="1:7" x14ac:dyDescent="0.3">
      <c r="A8" s="7" t="s">
        <v>184</v>
      </c>
      <c r="B8" s="10">
        <v>1</v>
      </c>
      <c r="C8" s="10">
        <v>3</v>
      </c>
      <c r="D8" s="6">
        <v>125</v>
      </c>
      <c r="E8" s="10">
        <v>0</v>
      </c>
      <c r="F8" s="8">
        <v>2.7692005608833145E-3</v>
      </c>
      <c r="G8" t="s">
        <v>454</v>
      </c>
    </row>
    <row r="9" spans="1:7" x14ac:dyDescent="0.3">
      <c r="A9" s="7" t="s">
        <v>185</v>
      </c>
      <c r="B9" s="10">
        <v>2</v>
      </c>
      <c r="C9" s="10">
        <v>4</v>
      </c>
      <c r="D9" s="6">
        <v>160</v>
      </c>
      <c r="E9" s="10">
        <v>0</v>
      </c>
      <c r="F9" s="8">
        <v>3.1843498464769554E-2</v>
      </c>
      <c r="G9" t="s">
        <v>454</v>
      </c>
    </row>
    <row r="10" spans="1:7" x14ac:dyDescent="0.3">
      <c r="A10" s="7" t="s">
        <v>186</v>
      </c>
      <c r="B10" s="10">
        <v>3</v>
      </c>
      <c r="C10" s="10">
        <v>5</v>
      </c>
      <c r="D10" s="6">
        <v>195</v>
      </c>
      <c r="E10" s="10">
        <v>1</v>
      </c>
      <c r="F10" s="8">
        <v>0.28035578812562961</v>
      </c>
      <c r="G10" t="s">
        <v>454</v>
      </c>
    </row>
    <row r="11" spans="1:7" x14ac:dyDescent="0.3">
      <c r="A11" s="7" t="s">
        <v>187</v>
      </c>
      <c r="B11" s="10">
        <v>4</v>
      </c>
      <c r="C11" s="10">
        <v>6</v>
      </c>
      <c r="D11" s="6">
        <v>230</v>
      </c>
      <c r="E11" s="10">
        <v>0</v>
      </c>
      <c r="F11" s="8">
        <v>0.82188419513902156</v>
      </c>
      <c r="G11" t="s">
        <v>455</v>
      </c>
    </row>
    <row r="12" spans="1:7" x14ac:dyDescent="0.3">
      <c r="A12" s="7" t="s">
        <v>188</v>
      </c>
      <c r="B12" s="10">
        <v>5</v>
      </c>
      <c r="C12" s="10">
        <v>7</v>
      </c>
      <c r="D12" s="6">
        <v>265</v>
      </c>
      <c r="E12" s="10">
        <v>1</v>
      </c>
      <c r="F12" s="8">
        <v>0.98203194928401705</v>
      </c>
      <c r="G12" t="s">
        <v>455</v>
      </c>
    </row>
    <row r="13" spans="1:7" x14ac:dyDescent="0.3">
      <c r="A13" s="7" t="s">
        <v>189</v>
      </c>
      <c r="B13" s="10">
        <v>6</v>
      </c>
      <c r="C13" s="10">
        <v>8</v>
      </c>
      <c r="D13" s="6">
        <v>300</v>
      </c>
      <c r="E13" s="10">
        <v>1</v>
      </c>
      <c r="F13" s="8">
        <v>0.99845763022340728</v>
      </c>
      <c r="G13" t="s">
        <v>455</v>
      </c>
    </row>
    <row r="14" spans="1:7" x14ac:dyDescent="0.3">
      <c r="A14" s="7" t="s">
        <v>190</v>
      </c>
      <c r="B14" s="10">
        <v>0</v>
      </c>
      <c r="C14" s="10">
        <v>9</v>
      </c>
      <c r="D14" s="6">
        <v>335</v>
      </c>
      <c r="E14" s="10">
        <v>0</v>
      </c>
      <c r="F14" s="8">
        <v>6.7636464835993302E-8</v>
      </c>
      <c r="G14" t="s">
        <v>454</v>
      </c>
    </row>
    <row r="15" spans="1:7" x14ac:dyDescent="0.3">
      <c r="A15" s="7" t="s">
        <v>191</v>
      </c>
      <c r="B15" s="10">
        <v>1</v>
      </c>
      <c r="C15" s="10">
        <v>10</v>
      </c>
      <c r="D15" s="6">
        <v>370</v>
      </c>
      <c r="E15" s="10">
        <v>0</v>
      </c>
      <c r="F15" s="8">
        <v>8.0111905702234593E-7</v>
      </c>
      <c r="G15" t="s">
        <v>454</v>
      </c>
    </row>
    <row r="16" spans="1:7" x14ac:dyDescent="0.3">
      <c r="A16" s="7" t="s">
        <v>192</v>
      </c>
      <c r="B16" s="10">
        <v>2</v>
      </c>
      <c r="C16" s="10">
        <v>11</v>
      </c>
      <c r="D16" s="6">
        <v>405</v>
      </c>
      <c r="E16" s="10">
        <v>0</v>
      </c>
      <c r="F16" s="8">
        <v>9.4887667496361117E-6</v>
      </c>
      <c r="G16" t="s">
        <v>454</v>
      </c>
    </row>
    <row r="17" spans="1:7" x14ac:dyDescent="0.3">
      <c r="A17" s="7" t="s">
        <v>193</v>
      </c>
      <c r="B17" s="10">
        <v>3</v>
      </c>
      <c r="C17" s="10">
        <v>12</v>
      </c>
      <c r="D17" s="6">
        <v>90</v>
      </c>
      <c r="E17" s="10">
        <v>0</v>
      </c>
      <c r="F17" s="8">
        <v>1.7900288140264332E-2</v>
      </c>
      <c r="G17" t="s">
        <v>454</v>
      </c>
    </row>
    <row r="18" spans="1:7" x14ac:dyDescent="0.3">
      <c r="A18" s="7" t="s">
        <v>194</v>
      </c>
      <c r="B18" s="10">
        <v>4</v>
      </c>
      <c r="C18" s="10">
        <v>13</v>
      </c>
      <c r="D18" s="6">
        <v>125</v>
      </c>
      <c r="E18" s="10">
        <v>0</v>
      </c>
      <c r="F18" s="8">
        <v>0.1775532775802999</v>
      </c>
      <c r="G18" t="s">
        <v>454</v>
      </c>
    </row>
    <row r="19" spans="1:7" x14ac:dyDescent="0.3">
      <c r="A19" s="7" t="s">
        <v>195</v>
      </c>
      <c r="B19" s="10">
        <v>5</v>
      </c>
      <c r="C19" s="10">
        <v>14</v>
      </c>
      <c r="D19" s="6">
        <v>160</v>
      </c>
      <c r="E19" s="10">
        <v>1</v>
      </c>
      <c r="F19" s="8">
        <v>0.71886731650658509</v>
      </c>
      <c r="G19" t="s">
        <v>455</v>
      </c>
    </row>
    <row r="20" spans="1:7" x14ac:dyDescent="0.3">
      <c r="A20" s="7" t="s">
        <v>196</v>
      </c>
      <c r="B20" s="10">
        <v>6</v>
      </c>
      <c r="C20" s="10">
        <v>15</v>
      </c>
      <c r="D20" s="6">
        <v>195</v>
      </c>
      <c r="E20" s="10">
        <v>1</v>
      </c>
      <c r="F20" s="8">
        <v>0.96803767394195972</v>
      </c>
      <c r="G20" t="s">
        <v>455</v>
      </c>
    </row>
    <row r="21" spans="1:7" x14ac:dyDescent="0.3">
      <c r="A21" s="7" t="s">
        <v>197</v>
      </c>
      <c r="B21" s="10">
        <v>0</v>
      </c>
      <c r="C21" s="10">
        <v>16</v>
      </c>
      <c r="D21" s="6">
        <v>230</v>
      </c>
      <c r="E21" s="10">
        <v>0</v>
      </c>
      <c r="F21" s="8">
        <v>3.16441676192029E-9</v>
      </c>
      <c r="G21" t="s">
        <v>454</v>
      </c>
    </row>
    <row r="22" spans="1:7" x14ac:dyDescent="0.3">
      <c r="A22" s="7" t="s">
        <v>198</v>
      </c>
      <c r="B22" s="10">
        <v>1</v>
      </c>
      <c r="C22" s="10">
        <v>17</v>
      </c>
      <c r="D22" s="6">
        <v>265</v>
      </c>
      <c r="E22" s="10">
        <v>0</v>
      </c>
      <c r="F22" s="8">
        <v>3.7480911382965173E-8</v>
      </c>
      <c r="G22" t="s">
        <v>454</v>
      </c>
    </row>
    <row r="23" spans="1:7" x14ac:dyDescent="0.3">
      <c r="A23" s="7" t="s">
        <v>199</v>
      </c>
      <c r="B23" s="10">
        <v>2</v>
      </c>
      <c r="C23" s="10">
        <v>18</v>
      </c>
      <c r="D23" s="6">
        <v>300</v>
      </c>
      <c r="E23" s="10">
        <v>0</v>
      </c>
      <c r="F23" s="8">
        <v>4.4394221779092055E-7</v>
      </c>
      <c r="G23" t="s">
        <v>454</v>
      </c>
    </row>
    <row r="24" spans="1:7" x14ac:dyDescent="0.3">
      <c r="A24" s="7" t="s">
        <v>200</v>
      </c>
      <c r="B24" s="10">
        <v>3</v>
      </c>
      <c r="C24" s="10">
        <v>19</v>
      </c>
      <c r="D24" s="6">
        <v>335</v>
      </c>
      <c r="E24" s="10">
        <v>0</v>
      </c>
      <c r="F24" s="8">
        <v>5.2582452439454851E-6</v>
      </c>
      <c r="G24" t="s">
        <v>454</v>
      </c>
    </row>
    <row r="25" spans="1:7" x14ac:dyDescent="0.3">
      <c r="A25" s="7" t="s">
        <v>201</v>
      </c>
      <c r="B25" s="10">
        <v>4</v>
      </c>
      <c r="C25" s="10">
        <v>2</v>
      </c>
      <c r="D25" s="6">
        <v>370</v>
      </c>
      <c r="E25" s="10">
        <v>1</v>
      </c>
      <c r="F25" s="8">
        <v>0.89243526566427966</v>
      </c>
      <c r="G25" t="s">
        <v>455</v>
      </c>
    </row>
    <row r="26" spans="1:7" x14ac:dyDescent="0.3">
      <c r="A26" s="7" t="s">
        <v>202</v>
      </c>
      <c r="B26" s="10">
        <v>5</v>
      </c>
      <c r="C26" s="10">
        <v>3</v>
      </c>
      <c r="D26" s="6">
        <v>405</v>
      </c>
      <c r="E26" s="10">
        <v>1</v>
      </c>
      <c r="F26" s="8">
        <v>0.98992651690763223</v>
      </c>
      <c r="G26" t="s">
        <v>455</v>
      </c>
    </row>
    <row r="27" spans="1:7" x14ac:dyDescent="0.3">
      <c r="A27" s="7" t="s">
        <v>203</v>
      </c>
      <c r="B27" s="10">
        <v>6</v>
      </c>
      <c r="C27" s="10">
        <v>4</v>
      </c>
      <c r="D27" s="6">
        <v>90</v>
      </c>
      <c r="E27" s="10">
        <v>1</v>
      </c>
      <c r="F27" s="8">
        <v>0.99999470234274512</v>
      </c>
      <c r="G27" t="s">
        <v>455</v>
      </c>
    </row>
    <row r="28" spans="1:7" x14ac:dyDescent="0.3">
      <c r="A28" s="7" t="s">
        <v>204</v>
      </c>
      <c r="B28" s="10">
        <v>0</v>
      </c>
      <c r="C28" s="10">
        <v>5</v>
      </c>
      <c r="D28" s="6">
        <v>125</v>
      </c>
      <c r="E28" s="10">
        <v>0</v>
      </c>
      <c r="F28" s="8">
        <v>1.9721732907313733E-5</v>
      </c>
      <c r="G28" t="s">
        <v>454</v>
      </c>
    </row>
    <row r="29" spans="1:7" x14ac:dyDescent="0.3">
      <c r="A29" s="7" t="s">
        <v>205</v>
      </c>
      <c r="B29" s="10">
        <v>1</v>
      </c>
      <c r="C29" s="10">
        <v>6</v>
      </c>
      <c r="D29" s="6">
        <v>160</v>
      </c>
      <c r="E29" s="10">
        <v>0</v>
      </c>
      <c r="F29" s="8">
        <v>2.3354398181748214E-4</v>
      </c>
      <c r="G29" t="s">
        <v>454</v>
      </c>
    </row>
    <row r="30" spans="1:7" x14ac:dyDescent="0.3">
      <c r="A30" s="7" t="s">
        <v>206</v>
      </c>
      <c r="B30" s="10">
        <v>2</v>
      </c>
      <c r="C30" s="10">
        <v>7</v>
      </c>
      <c r="D30" s="6">
        <v>195</v>
      </c>
      <c r="E30" s="10">
        <v>0</v>
      </c>
      <c r="F30" s="8">
        <v>2.7592219057002106E-3</v>
      </c>
      <c r="G30" t="s">
        <v>454</v>
      </c>
    </row>
    <row r="31" spans="1:7" x14ac:dyDescent="0.3">
      <c r="A31" s="7" t="s">
        <v>207</v>
      </c>
      <c r="B31" s="10">
        <v>3</v>
      </c>
      <c r="C31" s="10">
        <v>8</v>
      </c>
      <c r="D31" s="6">
        <v>230</v>
      </c>
      <c r="E31" s="10">
        <v>0</v>
      </c>
      <c r="F31" s="8">
        <v>3.1732085971917581E-2</v>
      </c>
      <c r="G31" t="s">
        <v>454</v>
      </c>
    </row>
    <row r="32" spans="1:7" x14ac:dyDescent="0.3">
      <c r="A32" s="7" t="s">
        <v>208</v>
      </c>
      <c r="B32" s="10">
        <v>4</v>
      </c>
      <c r="C32" s="10">
        <v>9</v>
      </c>
      <c r="D32" s="6">
        <v>265</v>
      </c>
      <c r="E32" s="10">
        <v>0</v>
      </c>
      <c r="F32" s="8">
        <v>0.27962601961358224</v>
      </c>
      <c r="G32" t="s">
        <v>454</v>
      </c>
    </row>
    <row r="33" spans="1:7" x14ac:dyDescent="0.3">
      <c r="A33" s="7" t="s">
        <v>209</v>
      </c>
      <c r="B33" s="10">
        <v>5</v>
      </c>
      <c r="C33" s="10">
        <v>10</v>
      </c>
      <c r="D33" s="6">
        <v>300</v>
      </c>
      <c r="E33" s="10">
        <v>1</v>
      </c>
      <c r="F33" s="8">
        <v>0.82135364998472427</v>
      </c>
      <c r="G33" t="s">
        <v>455</v>
      </c>
    </row>
    <row r="34" spans="1:7" x14ac:dyDescent="0.3">
      <c r="A34" s="7" t="s">
        <v>210</v>
      </c>
      <c r="B34" s="10">
        <v>6</v>
      </c>
      <c r="C34" s="10">
        <v>11</v>
      </c>
      <c r="D34" s="6">
        <v>335</v>
      </c>
      <c r="E34" s="10">
        <v>1</v>
      </c>
      <c r="F34" s="8">
        <v>0.98196796283830468</v>
      </c>
      <c r="G34" t="s">
        <v>455</v>
      </c>
    </row>
    <row r="37" spans="1:7" x14ac:dyDescent="0.3">
      <c r="A37" s="43" t="s">
        <v>215</v>
      </c>
      <c r="B37" s="43"/>
    </row>
    <row r="38" spans="1:7" x14ac:dyDescent="0.3">
      <c r="A38" s="44" t="s">
        <v>64</v>
      </c>
      <c r="B38" s="24" t="s">
        <v>456</v>
      </c>
    </row>
    <row r="39" spans="1:7" x14ac:dyDescent="0.3">
      <c r="A39" s="44" t="s">
        <v>216</v>
      </c>
      <c r="B39" s="24" t="s">
        <v>457</v>
      </c>
    </row>
    <row r="40" spans="1:7" x14ac:dyDescent="0.3">
      <c r="A40" s="44" t="s">
        <v>217</v>
      </c>
      <c r="B40" s="24" t="s">
        <v>458</v>
      </c>
    </row>
    <row r="41" spans="1:7" x14ac:dyDescent="0.3">
      <c r="A41" s="44" t="s">
        <v>267</v>
      </c>
      <c r="B41" s="24" t="s">
        <v>459</v>
      </c>
    </row>
    <row r="42" spans="1:7" x14ac:dyDescent="0.3">
      <c r="A42" s="44" t="s">
        <v>268</v>
      </c>
      <c r="B42" s="24" t="s">
        <v>460</v>
      </c>
    </row>
    <row r="43" spans="1:7" x14ac:dyDescent="0.3">
      <c r="A43" s="44" t="s">
        <v>269</v>
      </c>
      <c r="B43" s="24" t="s">
        <v>461</v>
      </c>
    </row>
    <row r="44" spans="1:7" x14ac:dyDescent="0.3">
      <c r="A44" s="44" t="s">
        <v>219</v>
      </c>
      <c r="B44" s="24" t="s">
        <v>505</v>
      </c>
    </row>
    <row r="45" spans="1:7" ht="28.8" x14ac:dyDescent="0.3">
      <c r="A45" s="44" t="s">
        <v>270</v>
      </c>
      <c r="B45" s="24" t="s">
        <v>506</v>
      </c>
    </row>
    <row r="46" spans="1:7" x14ac:dyDescent="0.3">
      <c r="A46" s="44" t="s">
        <v>220</v>
      </c>
      <c r="B46" s="24" t="s">
        <v>462</v>
      </c>
    </row>
    <row r="47" spans="1:7" ht="28.8" x14ac:dyDescent="0.3">
      <c r="A47" s="44" t="s">
        <v>271</v>
      </c>
      <c r="B47" s="24" t="s">
        <v>463</v>
      </c>
    </row>
    <row r="48" spans="1:7" ht="28.8" x14ac:dyDescent="0.3">
      <c r="A48" s="44" t="s">
        <v>223</v>
      </c>
      <c r="B48" s="24" t="s">
        <v>464</v>
      </c>
    </row>
    <row r="49" spans="1:2" x14ac:dyDescent="0.3">
      <c r="A49" s="44" t="s">
        <v>224</v>
      </c>
      <c r="B49" s="39" t="s">
        <v>57</v>
      </c>
    </row>
  </sheetData>
  <autoFilter ref="A6:E34" xr:uid="{00000000-0009-0000-0000-000008000000}"/>
  <mergeCells count="4">
    <mergeCell ref="A2:F2"/>
    <mergeCell ref="A1:F1"/>
    <mergeCell ref="B3:E3"/>
    <mergeCell ref="B4:E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D0D54-38DE-4597-BDB3-73ED2FF11BD4}">
  <sheetPr>
    <tabColor theme="9" tint="-0.249977111117893"/>
  </sheetPr>
  <dimension ref="A1:G66"/>
  <sheetViews>
    <sheetView topLeftCell="A12" workbookViewId="0">
      <selection activeCell="B16" sqref="B16"/>
    </sheetView>
  </sheetViews>
  <sheetFormatPr defaultRowHeight="14.4" x14ac:dyDescent="0.3"/>
  <cols>
    <col min="1" max="1" width="17.5546875" customWidth="1"/>
    <col min="2" max="2" width="30.21875" customWidth="1"/>
    <col min="3" max="3" width="23" customWidth="1"/>
    <col min="4" max="4" width="8.44140625" bestFit="1" customWidth="1"/>
    <col min="5" max="5" width="8.109375" bestFit="1" customWidth="1"/>
    <col min="6" max="6" width="23.109375" customWidth="1"/>
    <col min="7" max="7" width="63" customWidth="1"/>
  </cols>
  <sheetData>
    <row r="1" spans="1:7" ht="86.4" x14ac:dyDescent="0.3">
      <c r="A1" s="43" t="s">
        <v>465</v>
      </c>
      <c r="B1" s="43"/>
      <c r="C1" s="43"/>
      <c r="D1" s="43"/>
      <c r="E1" s="43"/>
      <c r="F1" s="43"/>
      <c r="G1" s="43"/>
    </row>
    <row r="2" spans="1:7" ht="43.2" x14ac:dyDescent="0.3">
      <c r="A2" s="45" t="s">
        <v>228</v>
      </c>
      <c r="B2" s="24" t="s">
        <v>182</v>
      </c>
      <c r="C2" s="24"/>
      <c r="D2" s="24"/>
      <c r="E2" s="24"/>
      <c r="F2" s="24"/>
      <c r="G2" s="24"/>
    </row>
    <row r="3" spans="1:7" ht="57.6" x14ac:dyDescent="0.3">
      <c r="A3" s="45" t="s">
        <v>229</v>
      </c>
      <c r="B3" s="24" t="s">
        <v>466</v>
      </c>
      <c r="C3" s="24"/>
      <c r="D3" s="24"/>
      <c r="E3" s="24"/>
      <c r="F3" s="24"/>
      <c r="G3" s="24"/>
    </row>
    <row r="4" spans="1:7" ht="86.4" x14ac:dyDescent="0.3">
      <c r="A4" s="45" t="s">
        <v>467</v>
      </c>
      <c r="B4" s="24" t="s">
        <v>468</v>
      </c>
      <c r="C4" s="24"/>
      <c r="D4" s="24"/>
      <c r="E4" s="24"/>
      <c r="F4" s="24"/>
      <c r="G4" s="24"/>
    </row>
    <row r="5" spans="1:7" ht="28.8" x14ac:dyDescent="0.3">
      <c r="A5" s="45" t="s">
        <v>232</v>
      </c>
      <c r="B5" s="24">
        <v>28</v>
      </c>
      <c r="C5" s="24"/>
      <c r="D5" s="24"/>
      <c r="E5" s="24"/>
      <c r="F5" s="24"/>
      <c r="G5" s="24"/>
    </row>
    <row r="6" spans="1:7" ht="28.8" x14ac:dyDescent="0.3">
      <c r="A6" s="45" t="s">
        <v>469</v>
      </c>
      <c r="B6" s="24">
        <v>10</v>
      </c>
      <c r="C6" s="24"/>
      <c r="D6" s="24"/>
      <c r="E6" s="24"/>
      <c r="F6" s="24"/>
      <c r="G6" s="24"/>
    </row>
    <row r="7" spans="1:7" ht="43.2" x14ac:dyDescent="0.3">
      <c r="A7" s="45" t="s">
        <v>470</v>
      </c>
      <c r="B7" s="24">
        <v>3.3333333333333335</v>
      </c>
      <c r="C7" s="24"/>
      <c r="D7" s="24"/>
      <c r="E7" s="24"/>
      <c r="F7" s="24"/>
      <c r="G7" s="24"/>
    </row>
    <row r="8" spans="1:7" ht="43.2" x14ac:dyDescent="0.3">
      <c r="A8" s="45" t="s">
        <v>471</v>
      </c>
      <c r="B8" s="46">
        <v>0.98333333333333328</v>
      </c>
      <c r="C8" s="24"/>
      <c r="D8" s="24"/>
      <c r="E8" s="24"/>
      <c r="F8" s="24"/>
      <c r="G8" s="24"/>
    </row>
    <row r="9" spans="1:7" ht="86.4" x14ac:dyDescent="0.3">
      <c r="A9" s="45" t="s">
        <v>472</v>
      </c>
      <c r="B9" s="31">
        <v>0.9285714285714286</v>
      </c>
      <c r="C9" s="24"/>
      <c r="D9" s="24"/>
      <c r="E9" s="24"/>
      <c r="F9" s="24"/>
      <c r="G9" s="24"/>
    </row>
    <row r="10" spans="1:7" ht="28.8" x14ac:dyDescent="0.3">
      <c r="A10" s="45" t="s">
        <v>473</v>
      </c>
      <c r="B10" s="46">
        <v>0.84444444444444444</v>
      </c>
      <c r="C10" s="24"/>
      <c r="D10" s="24"/>
      <c r="E10" s="24"/>
      <c r="F10" s="24"/>
      <c r="G10" s="24"/>
    </row>
    <row r="11" spans="1:7" ht="72" x14ac:dyDescent="0.3">
      <c r="A11" s="45" t="s">
        <v>474</v>
      </c>
      <c r="B11" s="31">
        <v>0.8571428571428571</v>
      </c>
      <c r="C11" s="24"/>
      <c r="D11" s="24"/>
      <c r="E11" s="24"/>
      <c r="F11" s="24"/>
      <c r="G11" s="24"/>
    </row>
    <row r="12" spans="1:7" ht="43.2" x14ac:dyDescent="0.3">
      <c r="A12" s="45" t="s">
        <v>475</v>
      </c>
      <c r="B12" s="31">
        <v>0.8</v>
      </c>
      <c r="C12" s="24"/>
      <c r="D12" s="24"/>
      <c r="E12" s="24"/>
      <c r="F12" s="24"/>
      <c r="G12" s="24"/>
    </row>
    <row r="13" spans="1:7" ht="43.2" x14ac:dyDescent="0.3">
      <c r="A13" s="45" t="s">
        <v>476</v>
      </c>
      <c r="B13" s="31">
        <v>0.88888888888888884</v>
      </c>
      <c r="C13" s="24"/>
      <c r="D13" s="24"/>
      <c r="E13" s="24"/>
      <c r="F13" s="24"/>
      <c r="G13" s="24"/>
    </row>
    <row r="14" spans="1:7" ht="43.2" x14ac:dyDescent="0.3">
      <c r="A14" s="45" t="s">
        <v>477</v>
      </c>
      <c r="B14" s="46">
        <v>0.10269708355709303</v>
      </c>
      <c r="C14" s="24"/>
      <c r="D14" s="24"/>
      <c r="E14" s="24"/>
      <c r="F14" s="24"/>
      <c r="G14" s="24"/>
    </row>
    <row r="15" spans="1:7" ht="144" x14ac:dyDescent="0.3">
      <c r="A15" s="45" t="s">
        <v>236</v>
      </c>
      <c r="B15" s="24" t="s">
        <v>478</v>
      </c>
      <c r="C15" s="24"/>
      <c r="D15" s="24"/>
      <c r="E15" s="24"/>
      <c r="F15" s="24"/>
      <c r="G15" s="24"/>
    </row>
    <row r="16" spans="1:7" ht="72" x14ac:dyDescent="0.3">
      <c r="A16" s="45" t="s">
        <v>224</v>
      </c>
      <c r="B16" s="39" t="s">
        <v>57</v>
      </c>
      <c r="C16" s="24"/>
      <c r="D16" s="24"/>
      <c r="E16" s="24"/>
      <c r="F16" s="24"/>
      <c r="G16" s="24"/>
    </row>
    <row r="17" spans="1:7" x14ac:dyDescent="0.3">
      <c r="A17" s="24"/>
      <c r="B17" s="24"/>
      <c r="C17" s="24"/>
      <c r="D17" s="24"/>
      <c r="E17" s="24"/>
      <c r="F17" s="24"/>
      <c r="G17" s="24"/>
    </row>
    <row r="18" spans="1:7" ht="43.2" x14ac:dyDescent="0.3">
      <c r="A18" s="44" t="s">
        <v>239</v>
      </c>
      <c r="B18" s="44" t="s">
        <v>241</v>
      </c>
      <c r="C18" s="44" t="s">
        <v>291</v>
      </c>
      <c r="D18" s="44" t="s">
        <v>479</v>
      </c>
      <c r="E18" s="44" t="s">
        <v>480</v>
      </c>
      <c r="F18" s="44" t="s">
        <v>242</v>
      </c>
      <c r="G18" s="44" t="s">
        <v>243</v>
      </c>
    </row>
    <row r="19" spans="1:7" ht="129.6" x14ac:dyDescent="0.3">
      <c r="A19" s="24" t="s">
        <v>255</v>
      </c>
      <c r="B19" s="47">
        <v>-5.7386973065374889</v>
      </c>
      <c r="C19" s="47">
        <v>5.0577621673372537</v>
      </c>
      <c r="D19" s="46">
        <v>3.2189588618548289E-3</v>
      </c>
      <c r="E19" s="47">
        <v>0.25652971408711434</v>
      </c>
      <c r="F19" s="24" t="s">
        <v>52</v>
      </c>
      <c r="G19" s="24" t="s">
        <v>481</v>
      </c>
    </row>
    <row r="20" spans="1:7" ht="28.8" x14ac:dyDescent="0.3">
      <c r="A20" s="24" t="s">
        <v>179</v>
      </c>
      <c r="B20" s="47">
        <v>3.6362676038097583</v>
      </c>
      <c r="C20" s="47">
        <v>2.2119351458280696</v>
      </c>
      <c r="D20" s="46">
        <v>37.949927893858636</v>
      </c>
      <c r="E20" s="47">
        <v>0.10019051727330774</v>
      </c>
      <c r="F20" s="24" t="s">
        <v>52</v>
      </c>
      <c r="G20" s="24" t="s">
        <v>482</v>
      </c>
    </row>
    <row r="21" spans="1:7" ht="28.8" x14ac:dyDescent="0.3">
      <c r="A21" s="24" t="s">
        <v>180</v>
      </c>
      <c r="B21" s="47">
        <v>-0.65553922328103809</v>
      </c>
      <c r="C21" s="47">
        <v>0.57921239208276154</v>
      </c>
      <c r="D21" s="46">
        <v>0.51916204283711986</v>
      </c>
      <c r="E21" s="47">
        <v>0.25772827768462037</v>
      </c>
      <c r="F21" s="24" t="s">
        <v>52</v>
      </c>
      <c r="G21" s="24" t="s">
        <v>483</v>
      </c>
    </row>
    <row r="22" spans="1:7" ht="28.8" x14ac:dyDescent="0.3">
      <c r="A22" s="24" t="s">
        <v>181</v>
      </c>
      <c r="B22" s="47">
        <v>-1.4539009537249037E-2</v>
      </c>
      <c r="C22" s="47">
        <v>2.4964006752783718E-2</v>
      </c>
      <c r="D22" s="46">
        <v>0.98556617150220427</v>
      </c>
      <c r="E22" s="47">
        <v>0.56029781078262397</v>
      </c>
      <c r="F22" s="24" t="s">
        <v>52</v>
      </c>
      <c r="G22" s="24" t="s">
        <v>484</v>
      </c>
    </row>
    <row r="23" spans="1:7" x14ac:dyDescent="0.3">
      <c r="A23" s="24"/>
      <c r="B23" s="24"/>
      <c r="C23" s="24"/>
      <c r="D23" s="24"/>
      <c r="E23" s="24"/>
      <c r="F23" s="24"/>
      <c r="G23" s="24"/>
    </row>
    <row r="24" spans="1:7" ht="28.8" x14ac:dyDescent="0.3">
      <c r="A24" s="44" t="s">
        <v>238</v>
      </c>
      <c r="B24" s="44" t="s">
        <v>239</v>
      </c>
      <c r="C24" s="44" t="s">
        <v>240</v>
      </c>
      <c r="D24" s="44" t="s">
        <v>479</v>
      </c>
      <c r="E24" s="44" t="s">
        <v>242</v>
      </c>
      <c r="F24" s="44" t="s">
        <v>279</v>
      </c>
      <c r="G24" s="44" t="s">
        <v>244</v>
      </c>
    </row>
    <row r="25" spans="1:7" ht="43.2" x14ac:dyDescent="0.3">
      <c r="A25" s="24">
        <v>1</v>
      </c>
      <c r="B25" s="24" t="s">
        <v>179</v>
      </c>
      <c r="C25" s="24" t="s">
        <v>245</v>
      </c>
      <c r="D25" s="46">
        <v>37.949927893858636</v>
      </c>
      <c r="E25" s="24" t="s">
        <v>52</v>
      </c>
      <c r="F25" s="24" t="s">
        <v>485</v>
      </c>
      <c r="G25" s="24" t="s">
        <v>281</v>
      </c>
    </row>
    <row r="26" spans="1:7" ht="57.6" x14ac:dyDescent="0.3">
      <c r="A26" s="24">
        <v>2</v>
      </c>
      <c r="B26" s="24" t="s">
        <v>180</v>
      </c>
      <c r="C26" s="24" t="s">
        <v>486</v>
      </c>
      <c r="D26" s="46">
        <v>0.51916204283711986</v>
      </c>
      <c r="E26" s="24" t="s">
        <v>52</v>
      </c>
      <c r="F26" s="24" t="s">
        <v>487</v>
      </c>
      <c r="G26" s="24" t="s">
        <v>281</v>
      </c>
    </row>
    <row r="27" spans="1:7" ht="43.2" x14ac:dyDescent="0.3">
      <c r="A27" s="24">
        <v>3</v>
      </c>
      <c r="B27" s="24" t="s">
        <v>181</v>
      </c>
      <c r="C27" s="24" t="s">
        <v>486</v>
      </c>
      <c r="D27" s="46">
        <v>0.86468491772566436</v>
      </c>
      <c r="E27" s="24" t="s">
        <v>52</v>
      </c>
      <c r="F27" s="24" t="s">
        <v>488</v>
      </c>
      <c r="G27" s="24" t="s">
        <v>281</v>
      </c>
    </row>
    <row r="28" spans="1:7" x14ac:dyDescent="0.3">
      <c r="A28" s="24"/>
      <c r="B28" s="24"/>
      <c r="C28" s="24"/>
      <c r="D28" s="24"/>
      <c r="E28" s="24"/>
      <c r="F28" s="24"/>
      <c r="G28" s="24"/>
    </row>
    <row r="29" spans="1:7" x14ac:dyDescent="0.3">
      <c r="A29" s="44" t="s">
        <v>247</v>
      </c>
      <c r="B29" s="44" t="s">
        <v>248</v>
      </c>
      <c r="C29" s="44" t="s">
        <v>284</v>
      </c>
      <c r="D29" s="24"/>
      <c r="E29" s="24"/>
      <c r="F29" s="24"/>
      <c r="G29" s="24"/>
    </row>
    <row r="30" spans="1:7" ht="43.2" x14ac:dyDescent="0.3">
      <c r="A30" s="24" t="s">
        <v>489</v>
      </c>
      <c r="B30" s="24" t="s">
        <v>250</v>
      </c>
      <c r="C30" s="24" t="s">
        <v>490</v>
      </c>
      <c r="D30" s="24"/>
      <c r="E30" s="24"/>
      <c r="F30" s="24"/>
      <c r="G30" s="24"/>
    </row>
    <row r="31" spans="1:7" ht="57.6" x14ac:dyDescent="0.3">
      <c r="A31" s="24" t="s">
        <v>491</v>
      </c>
      <c r="B31" s="24" t="s">
        <v>254</v>
      </c>
      <c r="C31" s="24" t="s">
        <v>492</v>
      </c>
      <c r="D31" s="24"/>
      <c r="E31" s="24"/>
      <c r="F31" s="24"/>
      <c r="G31" s="24"/>
    </row>
    <row r="32" spans="1:7" ht="43.2" x14ac:dyDescent="0.3">
      <c r="A32" s="24" t="s">
        <v>29</v>
      </c>
      <c r="B32" s="24" t="s">
        <v>250</v>
      </c>
      <c r="C32" s="24" t="s">
        <v>493</v>
      </c>
      <c r="D32" s="24"/>
      <c r="E32" s="24"/>
      <c r="F32" s="24"/>
      <c r="G32" s="24"/>
    </row>
    <row r="33" spans="1:7" ht="72" x14ac:dyDescent="0.3">
      <c r="A33" s="24" t="s">
        <v>494</v>
      </c>
      <c r="B33" s="24" t="s">
        <v>52</v>
      </c>
      <c r="C33" s="24" t="s">
        <v>495</v>
      </c>
      <c r="D33" s="24"/>
      <c r="E33" s="24"/>
      <c r="F33" s="24"/>
      <c r="G33" s="24"/>
    </row>
    <row r="34" spans="1:7" ht="57.6" x14ac:dyDescent="0.3">
      <c r="A34" s="24" t="s">
        <v>496</v>
      </c>
      <c r="B34" s="24" t="s">
        <v>52</v>
      </c>
      <c r="C34" s="24" t="s">
        <v>497</v>
      </c>
      <c r="D34" s="24"/>
      <c r="E34" s="24"/>
      <c r="F34" s="24"/>
      <c r="G34" s="24"/>
    </row>
    <row r="35" spans="1:7" ht="43.2" x14ac:dyDescent="0.3">
      <c r="A35" s="24" t="s">
        <v>222</v>
      </c>
      <c r="B35" s="24" t="s">
        <v>254</v>
      </c>
      <c r="C35" s="24" t="s">
        <v>498</v>
      </c>
      <c r="D35" s="24"/>
      <c r="E35" s="24"/>
      <c r="F35" s="24"/>
      <c r="G35" s="24"/>
    </row>
    <row r="36" spans="1:7" ht="57.6" x14ac:dyDescent="0.3">
      <c r="A36" s="24" t="s">
        <v>252</v>
      </c>
      <c r="B36" s="24" t="s">
        <v>250</v>
      </c>
      <c r="C36" s="24" t="s">
        <v>499</v>
      </c>
      <c r="D36" s="24"/>
      <c r="E36" s="24"/>
      <c r="F36" s="24"/>
      <c r="G36" s="24"/>
    </row>
    <row r="37" spans="1:7" x14ac:dyDescent="0.3">
      <c r="A37" s="24"/>
      <c r="B37" s="24"/>
      <c r="C37" s="24"/>
      <c r="D37" s="24"/>
      <c r="E37" s="24"/>
      <c r="F37" s="24"/>
      <c r="G37" s="24"/>
    </row>
    <row r="38" spans="1:7" ht="43.2" x14ac:dyDescent="0.3">
      <c r="A38" s="44" t="s">
        <v>178</v>
      </c>
      <c r="B38" s="44" t="s">
        <v>500</v>
      </c>
      <c r="C38" s="44" t="s">
        <v>501</v>
      </c>
      <c r="D38" s="44" t="s">
        <v>502</v>
      </c>
      <c r="E38" s="44" t="s">
        <v>503</v>
      </c>
      <c r="F38" s="44" t="s">
        <v>453</v>
      </c>
      <c r="G38" s="24"/>
    </row>
    <row r="39" spans="1:7" x14ac:dyDescent="0.3">
      <c r="A39" s="24" t="s">
        <v>183</v>
      </c>
      <c r="B39" s="24">
        <v>0</v>
      </c>
      <c r="C39" s="31">
        <v>2.3439073449203947E-4</v>
      </c>
      <c r="D39" s="31">
        <v>2.3549427830007026E-4</v>
      </c>
      <c r="E39" s="24">
        <v>0</v>
      </c>
      <c r="F39" s="24" t="s">
        <v>454</v>
      </c>
      <c r="G39" s="24"/>
    </row>
    <row r="40" spans="1:7" x14ac:dyDescent="0.3">
      <c r="A40" s="24" t="s">
        <v>184</v>
      </c>
      <c r="B40" s="24">
        <v>0</v>
      </c>
      <c r="C40" s="31">
        <v>2.7692005608833145E-3</v>
      </c>
      <c r="D40" s="31">
        <v>2.8599726955396408E-3</v>
      </c>
      <c r="E40" s="24">
        <v>0</v>
      </c>
      <c r="F40" s="24" t="s">
        <v>454</v>
      </c>
      <c r="G40" s="24"/>
    </row>
    <row r="41" spans="1:7" x14ac:dyDescent="0.3">
      <c r="A41" s="24" t="s">
        <v>185</v>
      </c>
      <c r="B41" s="24">
        <v>0</v>
      </c>
      <c r="C41" s="31">
        <v>3.1843498464769554E-2</v>
      </c>
      <c r="D41" s="31">
        <v>3.8721473680703097E-2</v>
      </c>
      <c r="E41" s="24">
        <v>0</v>
      </c>
      <c r="F41" s="24" t="s">
        <v>454</v>
      </c>
      <c r="G41" s="24"/>
    </row>
    <row r="42" spans="1:7" x14ac:dyDescent="0.3">
      <c r="A42" s="24" t="s">
        <v>186</v>
      </c>
      <c r="B42" s="24">
        <v>1</v>
      </c>
      <c r="C42" s="31">
        <v>0.28035578812562961</v>
      </c>
      <c r="D42" s="31">
        <v>4.2715304613044886E-16</v>
      </c>
      <c r="E42" s="24">
        <v>0</v>
      </c>
      <c r="F42" s="24" t="s">
        <v>454</v>
      </c>
      <c r="G42" s="24"/>
    </row>
    <row r="43" spans="1:7" x14ac:dyDescent="0.3">
      <c r="A43" s="24" t="s">
        <v>187</v>
      </c>
      <c r="B43" s="24">
        <v>0</v>
      </c>
      <c r="C43" s="31">
        <v>0.82188419513902156</v>
      </c>
      <c r="D43" s="31">
        <v>0.99999999816798413</v>
      </c>
      <c r="E43" s="24">
        <v>1</v>
      </c>
      <c r="F43" s="24" t="s">
        <v>455</v>
      </c>
      <c r="G43" s="24"/>
    </row>
    <row r="44" spans="1:7" x14ac:dyDescent="0.3">
      <c r="A44" s="24" t="s">
        <v>188</v>
      </c>
      <c r="B44" s="24">
        <v>1</v>
      </c>
      <c r="C44" s="31">
        <v>0.98203194928401705</v>
      </c>
      <c r="D44" s="31">
        <v>0.98011048132650891</v>
      </c>
      <c r="E44" s="24">
        <v>1</v>
      </c>
      <c r="F44" s="24" t="s">
        <v>455</v>
      </c>
      <c r="G44" s="24"/>
    </row>
    <row r="45" spans="1:7" x14ac:dyDescent="0.3">
      <c r="A45" s="24" t="s">
        <v>189</v>
      </c>
      <c r="B45" s="24">
        <v>1</v>
      </c>
      <c r="C45" s="31">
        <v>0.99845763022340728</v>
      </c>
      <c r="D45" s="31">
        <v>0.99843065604504178</v>
      </c>
      <c r="E45" s="24">
        <v>1</v>
      </c>
      <c r="F45" s="24" t="s">
        <v>455</v>
      </c>
      <c r="G45" s="24"/>
    </row>
    <row r="46" spans="1:7" x14ac:dyDescent="0.3">
      <c r="A46" s="24" t="s">
        <v>190</v>
      </c>
      <c r="B46" s="24">
        <v>0</v>
      </c>
      <c r="C46" s="31">
        <v>6.7636464835993302E-8</v>
      </c>
      <c r="D46" s="31">
        <v>6.7627236196004506E-8</v>
      </c>
      <c r="E46" s="24">
        <v>0</v>
      </c>
      <c r="F46" s="24" t="s">
        <v>454</v>
      </c>
      <c r="G46" s="24"/>
    </row>
    <row r="47" spans="1:7" x14ac:dyDescent="0.3">
      <c r="A47" s="24" t="s">
        <v>191</v>
      </c>
      <c r="B47" s="24">
        <v>0</v>
      </c>
      <c r="C47" s="31">
        <v>8.0111905702234593E-7</v>
      </c>
      <c r="D47" s="31">
        <v>8.01211345523917E-7</v>
      </c>
      <c r="E47" s="24">
        <v>0</v>
      </c>
      <c r="F47" s="24" t="s">
        <v>454</v>
      </c>
      <c r="G47" s="24"/>
    </row>
    <row r="48" spans="1:7" x14ac:dyDescent="0.3">
      <c r="A48" s="24" t="s">
        <v>192</v>
      </c>
      <c r="B48" s="24">
        <v>0</v>
      </c>
      <c r="C48" s="31">
        <v>9.4887667496361117E-6</v>
      </c>
      <c r="D48" s="31">
        <v>9.4985939784189687E-6</v>
      </c>
      <c r="E48" s="24">
        <v>0</v>
      </c>
      <c r="F48" s="24" t="s">
        <v>454</v>
      </c>
      <c r="G48" s="24"/>
    </row>
    <row r="49" spans="1:7" x14ac:dyDescent="0.3">
      <c r="A49" s="24" t="s">
        <v>193</v>
      </c>
      <c r="B49" s="24">
        <v>0</v>
      </c>
      <c r="C49" s="31">
        <v>1.7900288140264332E-2</v>
      </c>
      <c r="D49" s="31">
        <v>1.9803265556613568E-2</v>
      </c>
      <c r="E49" s="24">
        <v>0</v>
      </c>
      <c r="F49" s="24" t="s">
        <v>454</v>
      </c>
      <c r="G49" s="24"/>
    </row>
    <row r="50" spans="1:7" x14ac:dyDescent="0.3">
      <c r="A50" s="24" t="s">
        <v>194</v>
      </c>
      <c r="B50" s="24">
        <v>0</v>
      </c>
      <c r="C50" s="31">
        <v>0.1775532775802999</v>
      </c>
      <c r="D50" s="31">
        <v>0.29287808069897819</v>
      </c>
      <c r="E50" s="24">
        <v>0</v>
      </c>
      <c r="F50" s="24" t="s">
        <v>454</v>
      </c>
      <c r="G50" s="24"/>
    </row>
    <row r="51" spans="1:7" x14ac:dyDescent="0.3">
      <c r="A51" s="24" t="s">
        <v>195</v>
      </c>
      <c r="B51" s="24">
        <v>1</v>
      </c>
      <c r="C51" s="31">
        <v>0.71886731650658509</v>
      </c>
      <c r="D51" s="31">
        <v>0.40640466828949684</v>
      </c>
      <c r="E51" s="24">
        <v>1</v>
      </c>
      <c r="F51" s="24" t="s">
        <v>455</v>
      </c>
      <c r="G51" s="24"/>
    </row>
    <row r="52" spans="1:7" x14ac:dyDescent="0.3">
      <c r="A52" s="24" t="s">
        <v>196</v>
      </c>
      <c r="B52" s="24">
        <v>1</v>
      </c>
      <c r="C52" s="31">
        <v>0.96803767394195972</v>
      </c>
      <c r="D52" s="31">
        <v>0.96099388912948347</v>
      </c>
      <c r="E52" s="24">
        <v>1</v>
      </c>
      <c r="F52" s="24" t="s">
        <v>455</v>
      </c>
      <c r="G52" s="24"/>
    </row>
    <row r="53" spans="1:7" x14ac:dyDescent="0.3">
      <c r="A53" s="24" t="s">
        <v>197</v>
      </c>
      <c r="B53" s="24">
        <v>0</v>
      </c>
      <c r="C53" s="31">
        <v>3.16441676192029E-9</v>
      </c>
      <c r="D53" s="31">
        <v>3.1636694589341982E-9</v>
      </c>
      <c r="E53" s="24">
        <v>0</v>
      </c>
      <c r="F53" s="24" t="s">
        <v>454</v>
      </c>
      <c r="G53" s="24"/>
    </row>
    <row r="54" spans="1:7" x14ac:dyDescent="0.3">
      <c r="A54" s="24" t="s">
        <v>198</v>
      </c>
      <c r="B54" s="24">
        <v>0</v>
      </c>
      <c r="C54" s="31">
        <v>3.7480911382965173E-8</v>
      </c>
      <c r="D54" s="31">
        <v>3.7479031623323394E-8</v>
      </c>
      <c r="E54" s="24">
        <v>0</v>
      </c>
      <c r="F54" s="24" t="s">
        <v>454</v>
      </c>
      <c r="G54" s="24"/>
    </row>
    <row r="55" spans="1:7" x14ac:dyDescent="0.3">
      <c r="A55" s="24" t="s">
        <v>199</v>
      </c>
      <c r="B55" s="24">
        <v>0</v>
      </c>
      <c r="C55" s="31">
        <v>4.4394221779092055E-7</v>
      </c>
      <c r="D55" s="31">
        <v>4.4397646664539784E-7</v>
      </c>
      <c r="E55" s="24">
        <v>0</v>
      </c>
      <c r="F55" s="24" t="s">
        <v>454</v>
      </c>
      <c r="G55" s="24"/>
    </row>
    <row r="56" spans="1:7" x14ac:dyDescent="0.3">
      <c r="A56" s="24" t="s">
        <v>200</v>
      </c>
      <c r="B56" s="24">
        <v>0</v>
      </c>
      <c r="C56" s="31">
        <v>5.2582452439454851E-6</v>
      </c>
      <c r="D56" s="31">
        <v>5.2614496624559537E-6</v>
      </c>
      <c r="E56" s="24">
        <v>0</v>
      </c>
      <c r="F56" s="24" t="s">
        <v>454</v>
      </c>
      <c r="G56" s="24"/>
    </row>
    <row r="57" spans="1:7" x14ac:dyDescent="0.3">
      <c r="A57" s="24" t="s">
        <v>201</v>
      </c>
      <c r="B57" s="24">
        <v>1</v>
      </c>
      <c r="C57" s="31">
        <v>0.89243526566427966</v>
      </c>
      <c r="D57" s="31">
        <v>0.79476162197029598</v>
      </c>
      <c r="E57" s="24">
        <v>1</v>
      </c>
      <c r="F57" s="24" t="s">
        <v>455</v>
      </c>
      <c r="G57" s="24"/>
    </row>
    <row r="58" spans="1:7" x14ac:dyDescent="0.3">
      <c r="A58" s="24" t="s">
        <v>202</v>
      </c>
      <c r="B58" s="24">
        <v>1</v>
      </c>
      <c r="C58" s="31">
        <v>0.98992651690763223</v>
      </c>
      <c r="D58" s="31">
        <v>0.98912282370993099</v>
      </c>
      <c r="E58" s="24">
        <v>1</v>
      </c>
      <c r="F58" s="24" t="s">
        <v>455</v>
      </c>
      <c r="G58" s="24"/>
    </row>
    <row r="59" spans="1:7" x14ac:dyDescent="0.3">
      <c r="A59" s="24" t="s">
        <v>203</v>
      </c>
      <c r="B59" s="24">
        <v>1</v>
      </c>
      <c r="C59" s="31">
        <v>0.99999470234274512</v>
      </c>
      <c r="D59" s="31">
        <v>0.99999470051906925</v>
      </c>
      <c r="E59" s="24">
        <v>1</v>
      </c>
      <c r="F59" s="24" t="s">
        <v>455</v>
      </c>
      <c r="G59" s="24"/>
    </row>
    <row r="60" spans="1:7" x14ac:dyDescent="0.3">
      <c r="A60" s="24" t="s">
        <v>204</v>
      </c>
      <c r="B60" s="24">
        <v>0</v>
      </c>
      <c r="C60" s="31">
        <v>1.9721732907313733E-5</v>
      </c>
      <c r="D60" s="31">
        <v>1.9732534503621261E-5</v>
      </c>
      <c r="E60" s="24">
        <v>0</v>
      </c>
      <c r="F60" s="24" t="s">
        <v>454</v>
      </c>
      <c r="G60" s="24"/>
    </row>
    <row r="61" spans="1:7" x14ac:dyDescent="0.3">
      <c r="A61" s="24" t="s">
        <v>205</v>
      </c>
      <c r="B61" s="24">
        <v>0</v>
      </c>
      <c r="C61" s="31">
        <v>2.3354398181748214E-4</v>
      </c>
      <c r="D61" s="31">
        <v>2.346479663498988E-4</v>
      </c>
      <c r="E61" s="24">
        <v>0</v>
      </c>
      <c r="F61" s="24" t="s">
        <v>454</v>
      </c>
      <c r="G61" s="24"/>
    </row>
    <row r="62" spans="1:7" x14ac:dyDescent="0.3">
      <c r="A62" s="24" t="s">
        <v>206</v>
      </c>
      <c r="B62" s="24">
        <v>0</v>
      </c>
      <c r="C62" s="31">
        <v>2.7592219057002106E-3</v>
      </c>
      <c r="D62" s="31">
        <v>2.8488499913000469E-3</v>
      </c>
      <c r="E62" s="24">
        <v>0</v>
      </c>
      <c r="F62" s="24" t="s">
        <v>454</v>
      </c>
      <c r="G62" s="24"/>
    </row>
    <row r="63" spans="1:7" x14ac:dyDescent="0.3">
      <c r="A63" s="24" t="s">
        <v>207</v>
      </c>
      <c r="B63" s="24">
        <v>0</v>
      </c>
      <c r="C63" s="31">
        <v>3.1732085971917581E-2</v>
      </c>
      <c r="D63" s="31">
        <v>3.8481722728368438E-2</v>
      </c>
      <c r="E63" s="24">
        <v>0</v>
      </c>
      <c r="F63" s="24" t="s">
        <v>454</v>
      </c>
      <c r="G63" s="24"/>
    </row>
    <row r="64" spans="1:7" x14ac:dyDescent="0.3">
      <c r="A64" s="24" t="s">
        <v>208</v>
      </c>
      <c r="B64" s="24">
        <v>0</v>
      </c>
      <c r="C64" s="31">
        <v>0.27962601961358224</v>
      </c>
      <c r="D64" s="31">
        <v>0.54946585507325518</v>
      </c>
      <c r="E64" s="24">
        <v>0</v>
      </c>
      <c r="F64" s="24" t="s">
        <v>454</v>
      </c>
      <c r="G64" s="24"/>
    </row>
    <row r="65" spans="1:7" x14ac:dyDescent="0.3">
      <c r="A65" s="24" t="s">
        <v>209</v>
      </c>
      <c r="B65" s="24">
        <v>1</v>
      </c>
      <c r="C65" s="31">
        <v>0.82135364998472427</v>
      </c>
      <c r="D65" s="31">
        <v>0.7041561714067508</v>
      </c>
      <c r="E65" s="24">
        <v>1</v>
      </c>
      <c r="F65" s="24" t="s">
        <v>455</v>
      </c>
      <c r="G65" s="24"/>
    </row>
    <row r="66" spans="1:7" x14ac:dyDescent="0.3">
      <c r="A66" s="24" t="s">
        <v>210</v>
      </c>
      <c r="B66" s="24">
        <v>1</v>
      </c>
      <c r="C66" s="31">
        <v>0.98196796283830468</v>
      </c>
      <c r="D66" s="31">
        <v>0.98000875354860517</v>
      </c>
      <c r="E66" s="24">
        <v>1</v>
      </c>
      <c r="F66" s="24" t="s">
        <v>455</v>
      </c>
      <c r="G66" s="2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H53"/>
  <sheetViews>
    <sheetView showGridLines="0" workbookViewId="0">
      <pane ySplit="6" topLeftCell="A44" activePane="bottomLeft" state="frozen"/>
      <selection pane="bottomLeft" activeCell="B53" sqref="B53"/>
    </sheetView>
  </sheetViews>
  <sheetFormatPr defaultRowHeight="14.4" x14ac:dyDescent="0.3"/>
  <cols>
    <col min="1" max="1" width="27.77734375" customWidth="1"/>
    <col min="2" max="2" width="92.5546875" customWidth="1"/>
    <col min="3" max="3" width="27" customWidth="1"/>
    <col min="4" max="4" width="28" customWidth="1"/>
    <col min="5" max="5" width="18" customWidth="1"/>
    <col min="6" max="6" width="22.33203125" bestFit="1" customWidth="1"/>
    <col min="7" max="7" width="8" bestFit="1" customWidth="1"/>
    <col min="8" max="8" width="22.21875" bestFit="1" customWidth="1"/>
  </cols>
  <sheetData>
    <row r="1" spans="1:8" ht="28.05" customHeight="1" x14ac:dyDescent="0.3">
      <c r="A1" s="57" t="s">
        <v>211</v>
      </c>
      <c r="B1" s="58"/>
      <c r="C1" s="58"/>
      <c r="D1" s="58"/>
      <c r="E1" s="58"/>
      <c r="F1" s="58"/>
    </row>
    <row r="2" spans="1:8" ht="30" customHeight="1" x14ac:dyDescent="0.3">
      <c r="A2" s="59" t="s">
        <v>63</v>
      </c>
      <c r="B2" s="58"/>
      <c r="C2" s="58"/>
      <c r="D2" s="58"/>
      <c r="E2" s="58"/>
      <c r="F2" s="58"/>
    </row>
    <row r="3" spans="1:8" ht="43.05" customHeight="1" x14ac:dyDescent="0.3">
      <c r="A3" s="4" t="s">
        <v>64</v>
      </c>
      <c r="B3" s="60" t="s">
        <v>507</v>
      </c>
      <c r="C3" s="61"/>
      <c r="D3" s="61"/>
      <c r="E3" s="61"/>
    </row>
    <row r="4" spans="1:8" ht="43.05" customHeight="1" x14ac:dyDescent="0.3">
      <c r="A4" s="4" t="s">
        <v>66</v>
      </c>
      <c r="B4" s="60" t="s">
        <v>508</v>
      </c>
      <c r="C4" s="61"/>
      <c r="D4" s="61"/>
      <c r="E4" s="61"/>
    </row>
    <row r="5" spans="1:8" ht="7.95" customHeight="1" x14ac:dyDescent="0.3"/>
    <row r="6" spans="1:8" ht="34.049999999999997" customHeight="1" x14ac:dyDescent="0.3">
      <c r="A6" s="3" t="s">
        <v>68</v>
      </c>
      <c r="B6" s="3" t="s">
        <v>69</v>
      </c>
      <c r="C6" s="3" t="s">
        <v>212</v>
      </c>
      <c r="D6" s="3" t="s">
        <v>213</v>
      </c>
      <c r="E6" s="3" t="s">
        <v>214</v>
      </c>
      <c r="F6" s="13" t="s">
        <v>509</v>
      </c>
      <c r="G6" s="13" t="s">
        <v>261</v>
      </c>
      <c r="H6" s="13" t="s">
        <v>510</v>
      </c>
    </row>
    <row r="7" spans="1:8" x14ac:dyDescent="0.3">
      <c r="A7" s="5">
        <v>45292</v>
      </c>
      <c r="B7" s="6">
        <v>14000</v>
      </c>
      <c r="C7" s="10">
        <v>45</v>
      </c>
      <c r="D7" s="6">
        <v>18626</v>
      </c>
      <c r="E7" s="6">
        <v>117100</v>
      </c>
      <c r="F7" s="52">
        <f>Time_Leakage_Reg_Analysis!$K$14+Time_Leakage_Reg_Analysis!$K$12*B7+Time_Leakage_Reg_Analysis!$K$13*C7</f>
        <v>120397.02249344066</v>
      </c>
      <c r="G7" s="53">
        <f t="shared" ref="G7:G30" si="0">E7-F7</f>
        <v>-3297.0224934406579</v>
      </c>
      <c r="H7" s="54">
        <v>117200.05045874388</v>
      </c>
    </row>
    <row r="8" spans="1:8" x14ac:dyDescent="0.3">
      <c r="A8" s="5">
        <v>45323</v>
      </c>
      <c r="B8" s="6">
        <v>16200</v>
      </c>
      <c r="C8" s="10">
        <v>52</v>
      </c>
      <c r="D8" s="6">
        <v>21605</v>
      </c>
      <c r="E8" s="6">
        <v>134560</v>
      </c>
      <c r="F8" s="52">
        <f>Time_Leakage_Reg_Analysis!$K$14+Time_Leakage_Reg_Analysis!$K$12*B8+Time_Leakage_Reg_Analysis!$K$13*C8</f>
        <v>131794.33861030042</v>
      </c>
      <c r="G8" s="53">
        <f t="shared" si="0"/>
        <v>2765.6613896995841</v>
      </c>
      <c r="H8" s="54">
        <v>134629.78037154546</v>
      </c>
    </row>
    <row r="9" spans="1:8" x14ac:dyDescent="0.3">
      <c r="A9" s="5">
        <v>45352</v>
      </c>
      <c r="B9" s="6">
        <v>18400</v>
      </c>
      <c r="C9" s="10">
        <v>59</v>
      </c>
      <c r="D9" s="6">
        <v>22678</v>
      </c>
      <c r="E9" s="6">
        <v>142020</v>
      </c>
      <c r="F9" s="52">
        <f>Time_Leakage_Reg_Analysis!$K$14+Time_Leakage_Reg_Analysis!$K$12*B9+Time_Leakage_Reg_Analysis!$K$13*C9</f>
        <v>143191.65472716017</v>
      </c>
      <c r="G9" s="53">
        <f t="shared" si="0"/>
        <v>-1171.6547271601739</v>
      </c>
      <c r="H9" s="54">
        <v>142026.47379631171</v>
      </c>
    </row>
    <row r="10" spans="1:8" x14ac:dyDescent="0.3">
      <c r="A10" s="5">
        <v>45383</v>
      </c>
      <c r="B10" s="6">
        <v>20600</v>
      </c>
      <c r="C10" s="10">
        <v>66</v>
      </c>
      <c r="D10" s="6">
        <v>25319</v>
      </c>
      <c r="E10" s="6">
        <v>157680</v>
      </c>
      <c r="F10" s="52">
        <f>Time_Leakage_Reg_Analysis!$K$14+Time_Leakage_Reg_Analysis!$K$12*B10+Time_Leakage_Reg_Analysis!$K$13*C10</f>
        <v>154588.97084401996</v>
      </c>
      <c r="G10" s="53">
        <f t="shared" si="0"/>
        <v>3091.0291559800389</v>
      </c>
      <c r="H10" s="54">
        <v>157676.99786810807</v>
      </c>
    </row>
    <row r="11" spans="1:8" x14ac:dyDescent="0.3">
      <c r="A11" s="5">
        <v>45413</v>
      </c>
      <c r="B11" s="6">
        <v>22800</v>
      </c>
      <c r="C11" s="10">
        <v>73</v>
      </c>
      <c r="D11" s="6">
        <v>26296</v>
      </c>
      <c r="E11" s="6">
        <v>165040</v>
      </c>
      <c r="F11" s="52">
        <f>Time_Leakage_Reg_Analysis!$K$14+Time_Leakage_Reg_Analysis!$K$12*B11+Time_Leakage_Reg_Analysis!$K$13*C11</f>
        <v>165986.28696087972</v>
      </c>
      <c r="G11" s="53">
        <f t="shared" si="0"/>
        <v>-946.28696087971912</v>
      </c>
      <c r="H11" s="54">
        <v>164568.35472264799</v>
      </c>
    </row>
    <row r="12" spans="1:8" x14ac:dyDescent="0.3">
      <c r="A12" s="5">
        <v>45444</v>
      </c>
      <c r="B12" s="6">
        <v>25000</v>
      </c>
      <c r="C12" s="10">
        <v>80</v>
      </c>
      <c r="D12" s="6">
        <v>28619</v>
      </c>
      <c r="E12" s="6">
        <v>178400</v>
      </c>
      <c r="F12" s="52">
        <f>Time_Leakage_Reg_Analysis!$K$14+Time_Leakage_Reg_Analysis!$K$12*B12+Time_Leakage_Reg_Analysis!$K$13*C12</f>
        <v>177383.60307773948</v>
      </c>
      <c r="G12" s="53">
        <f t="shared" si="0"/>
        <v>1016.3969222605228</v>
      </c>
      <c r="H12" s="54">
        <v>178544.95140556962</v>
      </c>
    </row>
    <row r="13" spans="1:8" x14ac:dyDescent="0.3">
      <c r="A13" s="5">
        <v>45474</v>
      </c>
      <c r="B13" s="6">
        <v>27200</v>
      </c>
      <c r="C13" s="10">
        <v>87</v>
      </c>
      <c r="D13" s="6">
        <v>29405</v>
      </c>
      <c r="E13" s="6">
        <v>184060</v>
      </c>
      <c r="F13" s="52">
        <f>Time_Leakage_Reg_Analysis!$K$14+Time_Leakage_Reg_Analysis!$K$12*B13+Time_Leakage_Reg_Analysis!$K$13*C13</f>
        <v>188780.91919459924</v>
      </c>
      <c r="G13" s="53">
        <f t="shared" si="0"/>
        <v>-4720.9191945992352</v>
      </c>
      <c r="H13" s="54">
        <v>184430.89904226342</v>
      </c>
    </row>
    <row r="14" spans="1:8" x14ac:dyDescent="0.3">
      <c r="A14" s="5">
        <v>45505</v>
      </c>
      <c r="B14" s="6">
        <v>29400</v>
      </c>
      <c r="C14" s="10">
        <v>94</v>
      </c>
      <c r="D14" s="6">
        <v>32333</v>
      </c>
      <c r="E14" s="6">
        <v>201520</v>
      </c>
      <c r="F14" s="52">
        <f>Time_Leakage_Reg_Analysis!$K$14+Time_Leakage_Reg_Analysis!$K$12*B14+Time_Leakage_Reg_Analysis!$K$13*C14</f>
        <v>200178.23531145899</v>
      </c>
      <c r="G14" s="53">
        <f t="shared" si="0"/>
        <v>1341.7646885410068</v>
      </c>
      <c r="H14" s="54">
        <v>201592.16890213225</v>
      </c>
    </row>
    <row r="15" spans="1:8" x14ac:dyDescent="0.3">
      <c r="A15" s="5">
        <v>45536</v>
      </c>
      <c r="B15" s="6">
        <v>14000</v>
      </c>
      <c r="C15" s="10">
        <v>101</v>
      </c>
      <c r="D15" s="6">
        <v>24597</v>
      </c>
      <c r="E15" s="6">
        <v>154420</v>
      </c>
      <c r="F15" s="52">
        <f>Time_Leakage_Reg_Analysis!$K$14+Time_Leakage_Reg_Analysis!$K$12*B15+Time_Leakage_Reg_Analysis!$K$13*C15</f>
        <v>155482.10606998616</v>
      </c>
      <c r="G15" s="53">
        <f t="shared" si="0"/>
        <v>-1062.1060699861555</v>
      </c>
      <c r="H15" s="54">
        <v>154290.50698563832</v>
      </c>
    </row>
    <row r="16" spans="1:8" x14ac:dyDescent="0.3">
      <c r="A16" s="5">
        <v>45566</v>
      </c>
      <c r="B16" s="6">
        <v>16200</v>
      </c>
      <c r="C16" s="10">
        <v>45</v>
      </c>
      <c r="D16" s="6">
        <v>21038</v>
      </c>
      <c r="E16" s="6">
        <v>131020</v>
      </c>
      <c r="F16" s="52">
        <f>Time_Leakage_Reg_Analysis!$K$14+Time_Leakage_Reg_Analysis!$K$12*B16+Time_Leakage_Reg_Analysis!$K$13*C16</f>
        <v>127408.70316323225</v>
      </c>
      <c r="G16" s="53">
        <f t="shared" si="0"/>
        <v>3611.2968367677531</v>
      </c>
      <c r="H16" s="54">
        <v>130937.68942322893</v>
      </c>
    </row>
    <row r="17" spans="1:8" x14ac:dyDescent="0.3">
      <c r="A17" s="5">
        <v>45597</v>
      </c>
      <c r="B17" s="6">
        <v>18400</v>
      </c>
      <c r="C17" s="10">
        <v>52</v>
      </c>
      <c r="D17" s="6">
        <v>22096</v>
      </c>
      <c r="E17" s="6">
        <v>138380</v>
      </c>
      <c r="F17" s="52">
        <f>Time_Leakage_Reg_Analysis!$K$14+Time_Leakage_Reg_Analysis!$K$12*B17+Time_Leakage_Reg_Analysis!$K$13*C17</f>
        <v>138806.019280092</v>
      </c>
      <c r="G17" s="53">
        <f t="shared" si="0"/>
        <v>-426.01928009200492</v>
      </c>
      <c r="H17" s="54">
        <v>138255.42400889733</v>
      </c>
    </row>
    <row r="18" spans="1:8" x14ac:dyDescent="0.3">
      <c r="A18" s="5">
        <v>45627</v>
      </c>
      <c r="B18" s="6">
        <v>20600</v>
      </c>
      <c r="C18" s="10">
        <v>59</v>
      </c>
      <c r="D18" s="6">
        <v>24368</v>
      </c>
      <c r="E18" s="6">
        <v>151740</v>
      </c>
      <c r="F18" s="52">
        <f>Time_Leakage_Reg_Analysis!$K$14+Time_Leakage_Reg_Analysis!$K$12*B18+Time_Leakage_Reg_Analysis!$K$13*C18</f>
        <v>150203.33539695176</v>
      </c>
      <c r="G18" s="53">
        <f t="shared" si="0"/>
        <v>1536.664603048237</v>
      </c>
      <c r="H18" s="54">
        <v>151963.56063888624</v>
      </c>
    </row>
    <row r="19" spans="1:8" x14ac:dyDescent="0.3">
      <c r="A19" s="5">
        <v>45658</v>
      </c>
      <c r="B19" s="6">
        <v>22800</v>
      </c>
      <c r="C19" s="10">
        <v>66</v>
      </c>
      <c r="D19" s="6">
        <v>25074</v>
      </c>
      <c r="E19" s="6">
        <v>157400</v>
      </c>
      <c r="F19" s="52">
        <f>Time_Leakage_Reg_Analysis!$K$14+Time_Leakage_Reg_Analysis!$K$12*B19+Time_Leakage_Reg_Analysis!$K$13*C19</f>
        <v>161600.65151381152</v>
      </c>
      <c r="G19" s="53">
        <f t="shared" si="0"/>
        <v>-4200.651513811521</v>
      </c>
      <c r="H19" s="54">
        <v>157428.39446705807</v>
      </c>
    </row>
    <row r="20" spans="1:8" x14ac:dyDescent="0.3">
      <c r="A20" s="5">
        <v>45689</v>
      </c>
      <c r="B20" s="6">
        <v>25000</v>
      </c>
      <c r="C20" s="10">
        <v>73</v>
      </c>
      <c r="D20" s="6">
        <v>28053</v>
      </c>
      <c r="E20" s="6">
        <v>174860</v>
      </c>
      <c r="F20" s="52">
        <f>Time_Leakage_Reg_Analysis!$K$14+Time_Leakage_Reg_Analysis!$K$12*B20+Time_Leakage_Reg_Analysis!$K$13*C20</f>
        <v>172997.96763067128</v>
      </c>
      <c r="G20" s="53">
        <f t="shared" si="0"/>
        <v>1862.032369328721</v>
      </c>
      <c r="H20" s="54">
        <v>174858.12437985966</v>
      </c>
    </row>
    <row r="21" spans="1:8" x14ac:dyDescent="0.3">
      <c r="A21" s="5">
        <v>45717</v>
      </c>
      <c r="B21" s="6">
        <v>27200</v>
      </c>
      <c r="C21" s="10">
        <v>80</v>
      </c>
      <c r="D21" s="6">
        <v>29126</v>
      </c>
      <c r="E21" s="6">
        <v>182320</v>
      </c>
      <c r="F21" s="52">
        <f>Time_Leakage_Reg_Analysis!$K$14+Time_Leakage_Reg_Analysis!$K$12*B21+Time_Leakage_Reg_Analysis!$K$13*C21</f>
        <v>184395.28374753104</v>
      </c>
      <c r="G21" s="53">
        <f t="shared" si="0"/>
        <v>-2075.2837475310371</v>
      </c>
      <c r="H21" s="54">
        <v>182254.81780462593</v>
      </c>
    </row>
    <row r="22" spans="1:8" x14ac:dyDescent="0.3">
      <c r="A22" s="5">
        <v>45748</v>
      </c>
      <c r="B22" s="6">
        <v>29400</v>
      </c>
      <c r="C22" s="10">
        <v>87</v>
      </c>
      <c r="D22" s="6">
        <v>31767</v>
      </c>
      <c r="E22" s="6">
        <v>197980</v>
      </c>
      <c r="F22" s="52">
        <f>Time_Leakage_Reg_Analysis!$K$14+Time_Leakage_Reg_Analysis!$K$12*B22+Time_Leakage_Reg_Analysis!$K$13*C22</f>
        <v>195792.5998643908</v>
      </c>
      <c r="G22" s="53">
        <f t="shared" si="0"/>
        <v>2187.4001356092049</v>
      </c>
      <c r="H22" s="54">
        <v>197905.34187642226</v>
      </c>
    </row>
    <row r="23" spans="1:8" x14ac:dyDescent="0.3">
      <c r="A23" s="5">
        <v>45778</v>
      </c>
      <c r="B23" s="6">
        <v>14000</v>
      </c>
      <c r="C23" s="10">
        <v>94</v>
      </c>
      <c r="D23" s="6">
        <v>24015</v>
      </c>
      <c r="E23" s="6">
        <v>150780</v>
      </c>
      <c r="F23" s="52">
        <f>Time_Leakage_Reg_Analysis!$K$14+Time_Leakage_Reg_Analysis!$K$12*B23+Time_Leakage_Reg_Analysis!$K$13*C23</f>
        <v>151096.47062291799</v>
      </c>
      <c r="G23" s="53">
        <f t="shared" si="0"/>
        <v>-316.47062291798647</v>
      </c>
      <c r="H23" s="54">
        <v>150519.45719822394</v>
      </c>
    </row>
    <row r="24" spans="1:8" x14ac:dyDescent="0.3">
      <c r="A24" s="5">
        <v>45809</v>
      </c>
      <c r="B24" s="6">
        <v>16200</v>
      </c>
      <c r="C24" s="10">
        <v>101</v>
      </c>
      <c r="D24" s="6">
        <v>26337</v>
      </c>
      <c r="E24" s="6">
        <v>164140</v>
      </c>
      <c r="F24" s="52">
        <f>Time_Leakage_Reg_Analysis!$K$14+Time_Leakage_Reg_Analysis!$K$12*B24+Time_Leakage_Reg_Analysis!$K$13*C24</f>
        <v>162493.78673977772</v>
      </c>
      <c r="G24" s="53">
        <f t="shared" si="0"/>
        <v>1646.2132602222846</v>
      </c>
      <c r="H24" s="54">
        <v>164490.78995853907</v>
      </c>
    </row>
    <row r="25" spans="1:8" x14ac:dyDescent="0.3">
      <c r="A25" s="5">
        <v>45839</v>
      </c>
      <c r="B25" s="6">
        <v>18400</v>
      </c>
      <c r="C25" s="10">
        <v>45</v>
      </c>
      <c r="D25" s="6">
        <v>20873</v>
      </c>
      <c r="E25" s="6">
        <v>130740</v>
      </c>
      <c r="F25" s="52">
        <f>Time_Leakage_Reg_Analysis!$K$14+Time_Leakage_Reg_Analysis!$K$12*B25+Time_Leakage_Reg_Analysis!$K$13*C25</f>
        <v>134420.38383302381</v>
      </c>
      <c r="G25" s="53">
        <f t="shared" si="0"/>
        <v>-3680.3838330238068</v>
      </c>
      <c r="H25" s="54">
        <v>131110.19983070091</v>
      </c>
    </row>
    <row r="26" spans="1:8" x14ac:dyDescent="0.3">
      <c r="A26" s="5">
        <v>45870</v>
      </c>
      <c r="B26" s="6">
        <v>20600</v>
      </c>
      <c r="C26" s="10">
        <v>52</v>
      </c>
      <c r="D26" s="6">
        <v>23802</v>
      </c>
      <c r="E26" s="6">
        <v>148200</v>
      </c>
      <c r="F26" s="52">
        <f>Time_Leakage_Reg_Analysis!$K$14+Time_Leakage_Reg_Analysis!$K$12*B26+Time_Leakage_Reg_Analysis!$K$13*C26</f>
        <v>145817.69994988356</v>
      </c>
      <c r="G26" s="53">
        <f t="shared" si="0"/>
        <v>2382.3000501164352</v>
      </c>
      <c r="H26" s="54">
        <v>148276.73361317627</v>
      </c>
    </row>
    <row r="27" spans="1:8" x14ac:dyDescent="0.3">
      <c r="A27" s="5">
        <v>45901</v>
      </c>
      <c r="B27" s="6">
        <v>22800</v>
      </c>
      <c r="C27" s="10">
        <v>59</v>
      </c>
      <c r="D27" s="6">
        <v>24796</v>
      </c>
      <c r="E27" s="6">
        <v>155660</v>
      </c>
      <c r="F27" s="52">
        <f>Time_Leakage_Reg_Analysis!$K$14+Time_Leakage_Reg_Analysis!$K$12*B27+Time_Leakage_Reg_Analysis!$K$13*C27</f>
        <v>157215.01606674335</v>
      </c>
      <c r="G27" s="53">
        <f t="shared" si="0"/>
        <v>-1555.016066743352</v>
      </c>
      <c r="H27" s="54">
        <v>155257.57715202708</v>
      </c>
    </row>
    <row r="28" spans="1:8" x14ac:dyDescent="0.3">
      <c r="A28" s="5">
        <v>45931</v>
      </c>
      <c r="B28" s="6">
        <v>25000</v>
      </c>
      <c r="C28" s="10">
        <v>66</v>
      </c>
      <c r="D28" s="6">
        <v>27486</v>
      </c>
      <c r="E28" s="6">
        <v>171320</v>
      </c>
      <c r="F28" s="52">
        <f>Time_Leakage_Reg_Analysis!$K$14+Time_Leakage_Reg_Analysis!$K$12*B28+Time_Leakage_Reg_Analysis!$K$13*C28</f>
        <v>168612.33218360308</v>
      </c>
      <c r="G28" s="53">
        <f t="shared" si="0"/>
        <v>2707.6678163969191</v>
      </c>
      <c r="H28" s="54">
        <v>171166.03343154312</v>
      </c>
    </row>
    <row r="29" spans="1:8" x14ac:dyDescent="0.3">
      <c r="A29" s="5">
        <v>45962</v>
      </c>
      <c r="B29" s="6">
        <v>27200</v>
      </c>
      <c r="C29" s="10">
        <v>73</v>
      </c>
      <c r="D29" s="6">
        <v>28544</v>
      </c>
      <c r="E29" s="6">
        <v>178680</v>
      </c>
      <c r="F29" s="52">
        <f>Time_Leakage_Reg_Analysis!$K$14+Time_Leakage_Reg_Analysis!$K$12*B29+Time_Leakage_Reg_Analysis!$K$13*C29</f>
        <v>180009.64830046287</v>
      </c>
      <c r="G29" s="53">
        <f t="shared" si="0"/>
        <v>-1329.6483004628681</v>
      </c>
      <c r="H29" s="54">
        <v>178483.76801721152</v>
      </c>
    </row>
    <row r="30" spans="1:8" x14ac:dyDescent="0.3">
      <c r="A30" s="5">
        <v>45992</v>
      </c>
      <c r="B30" s="6">
        <v>29400</v>
      </c>
      <c r="C30" s="10">
        <v>80</v>
      </c>
      <c r="D30" s="6">
        <v>30816</v>
      </c>
      <c r="E30" s="6">
        <v>192040</v>
      </c>
      <c r="F30" s="52">
        <f>Time_Leakage_Reg_Analysis!$K$14+Time_Leakage_Reg_Analysis!$K$12*B30+Time_Leakage_Reg_Analysis!$K$13*C30</f>
        <v>191406.9644173226</v>
      </c>
      <c r="G30" s="53">
        <f t="shared" si="0"/>
        <v>633.035582677403</v>
      </c>
      <c r="H30" s="54">
        <v>192191.90464720043</v>
      </c>
    </row>
    <row r="33" spans="1:2" x14ac:dyDescent="0.3">
      <c r="A33" s="43" t="s">
        <v>215</v>
      </c>
      <c r="B33" s="43"/>
    </row>
    <row r="34" spans="1:2" x14ac:dyDescent="0.3">
      <c r="A34" s="44" t="s">
        <v>64</v>
      </c>
      <c r="B34" s="24" t="s">
        <v>511</v>
      </c>
    </row>
    <row r="35" spans="1:2" ht="28.8" x14ac:dyDescent="0.3">
      <c r="A35" s="44" t="s">
        <v>216</v>
      </c>
      <c r="B35" s="24" t="s">
        <v>512</v>
      </c>
    </row>
    <row r="36" spans="1:2" ht="28.8" x14ac:dyDescent="0.3">
      <c r="A36" s="44" t="s">
        <v>217</v>
      </c>
      <c r="B36" s="24" t="s">
        <v>513</v>
      </c>
    </row>
    <row r="37" spans="1:2" ht="28.8" x14ac:dyDescent="0.3">
      <c r="A37" s="44" t="s">
        <v>267</v>
      </c>
      <c r="B37" s="24" t="s">
        <v>583</v>
      </c>
    </row>
    <row r="38" spans="1:2" ht="28.8" x14ac:dyDescent="0.3">
      <c r="A38" s="44" t="s">
        <v>268</v>
      </c>
      <c r="B38" s="24" t="s">
        <v>514</v>
      </c>
    </row>
    <row r="39" spans="1:2" x14ac:dyDescent="0.3">
      <c r="A39" s="44" t="s">
        <v>219</v>
      </c>
      <c r="B39" s="24" t="s">
        <v>584</v>
      </c>
    </row>
    <row r="40" spans="1:2" ht="28.8" x14ac:dyDescent="0.3">
      <c r="A40" s="44" t="s">
        <v>270</v>
      </c>
      <c r="B40" s="24" t="s">
        <v>585</v>
      </c>
    </row>
    <row r="41" spans="1:2" x14ac:dyDescent="0.3">
      <c r="A41" s="44" t="s">
        <v>220</v>
      </c>
      <c r="B41" s="24" t="s">
        <v>586</v>
      </c>
    </row>
    <row r="42" spans="1:2" ht="28.8" x14ac:dyDescent="0.3">
      <c r="A42" s="44" t="s">
        <v>271</v>
      </c>
      <c r="B42" s="24" t="s">
        <v>515</v>
      </c>
    </row>
    <row r="43" spans="1:2" ht="28.8" x14ac:dyDescent="0.3">
      <c r="A43" s="44" t="s">
        <v>223</v>
      </c>
      <c r="B43" s="24" t="s">
        <v>516</v>
      </c>
    </row>
    <row r="44" spans="1:2" x14ac:dyDescent="0.3">
      <c r="A44" s="44" t="s">
        <v>224</v>
      </c>
      <c r="B44" s="34" t="s">
        <v>52</v>
      </c>
    </row>
    <row r="47" spans="1:2" ht="28.8" x14ac:dyDescent="0.3">
      <c r="A47" s="43" t="s">
        <v>517</v>
      </c>
      <c r="B47" s="43"/>
    </row>
    <row r="48" spans="1:2" x14ac:dyDescent="0.3">
      <c r="A48" s="44" t="s">
        <v>518</v>
      </c>
      <c r="B48" s="55">
        <v>29400</v>
      </c>
    </row>
    <row r="49" spans="1:2" x14ac:dyDescent="0.3">
      <c r="A49" s="44" t="s">
        <v>519</v>
      </c>
      <c r="B49" s="48">
        <v>80</v>
      </c>
    </row>
    <row r="50" spans="1:2" x14ac:dyDescent="0.3">
      <c r="A50" s="44" t="s">
        <v>520</v>
      </c>
      <c r="B50" s="56">
        <f>Time_Leakage_Reg_Analysis!$K$14+Time_Leakage_Reg_Analysis!$K$12*B48+Time_Leakage_Reg_Analysis!$K$13*B49</f>
        <v>191406.9644173226</v>
      </c>
    </row>
    <row r="51" spans="1:2" x14ac:dyDescent="0.3">
      <c r="A51" s="44" t="s">
        <v>521</v>
      </c>
      <c r="B51" s="56">
        <f>B50-1.96*Time_Leakage_Reg_Analysis!$K$17</f>
        <v>186413.07603388757</v>
      </c>
    </row>
    <row r="52" spans="1:2" x14ac:dyDescent="0.3">
      <c r="A52" s="44" t="s">
        <v>522</v>
      </c>
      <c r="B52" s="56">
        <f>B50+1.96*Time_Leakage_Reg_Analysis!$K$17</f>
        <v>196400.85280075762</v>
      </c>
    </row>
    <row r="53" spans="1:2" x14ac:dyDescent="0.3">
      <c r="A53" s="44" t="s">
        <v>523</v>
      </c>
      <c r="B53" s="24" t="s">
        <v>524</v>
      </c>
    </row>
  </sheetData>
  <autoFilter ref="A6:E30" xr:uid="{00000000-0009-0000-0000-000009000000}"/>
  <mergeCells count="4">
    <mergeCell ref="A2:F2"/>
    <mergeCell ref="A1:F1"/>
    <mergeCell ref="B3:E3"/>
    <mergeCell ref="B4:E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0178-8837-41D6-96FC-AD2E17A93A64}">
  <sheetPr>
    <tabColor theme="9" tint="-0.249977111117893"/>
  </sheetPr>
  <dimension ref="A1:K63"/>
  <sheetViews>
    <sheetView topLeftCell="A43" workbookViewId="0">
      <selection activeCell="A4" sqref="A4"/>
    </sheetView>
  </sheetViews>
  <sheetFormatPr defaultRowHeight="14.4" x14ac:dyDescent="0.3"/>
  <cols>
    <col min="2" max="2" width="20.88671875" customWidth="1"/>
    <col min="3" max="3" width="18.33203125" customWidth="1"/>
    <col min="4" max="4" width="8.6640625" bestFit="1" customWidth="1"/>
    <col min="5" max="5" width="8.44140625" bestFit="1" customWidth="1"/>
    <col min="6" max="7" width="55.5546875" customWidth="1"/>
    <col min="8" max="8" width="7.5546875" bestFit="1" customWidth="1"/>
    <col min="10" max="10" width="8.6640625" bestFit="1" customWidth="1"/>
    <col min="11" max="11" width="63" customWidth="1"/>
  </cols>
  <sheetData>
    <row r="1" spans="1:11" ht="100.8" x14ac:dyDescent="0.3">
      <c r="A1" s="43" t="s">
        <v>525</v>
      </c>
      <c r="B1" s="43"/>
      <c r="C1" s="43"/>
      <c r="D1" s="43"/>
      <c r="E1" s="43"/>
      <c r="F1" s="43"/>
      <c r="G1" s="43"/>
      <c r="H1" s="43"/>
      <c r="I1" s="24"/>
      <c r="J1" s="43" t="s">
        <v>566</v>
      </c>
      <c r="K1" s="43"/>
    </row>
    <row r="2" spans="1:11" ht="43.2" x14ac:dyDescent="0.3">
      <c r="A2" s="45" t="s">
        <v>228</v>
      </c>
      <c r="B2" s="24" t="s">
        <v>214</v>
      </c>
      <c r="C2" s="24"/>
      <c r="D2" s="24"/>
      <c r="E2" s="24"/>
      <c r="F2" s="24"/>
      <c r="G2" s="24"/>
      <c r="H2" s="24"/>
      <c r="I2" s="24"/>
      <c r="J2" s="24" t="s">
        <v>567</v>
      </c>
      <c r="K2" s="49">
        <v>160835.83333333334</v>
      </c>
    </row>
    <row r="3" spans="1:11" ht="57.6" x14ac:dyDescent="0.3">
      <c r="A3" s="45" t="s">
        <v>428</v>
      </c>
      <c r="B3" s="24" t="s">
        <v>526</v>
      </c>
      <c r="C3" s="24"/>
      <c r="D3" s="24"/>
      <c r="E3" s="24"/>
      <c r="F3" s="24"/>
      <c r="G3" s="24"/>
      <c r="H3" s="24"/>
      <c r="I3" s="24"/>
      <c r="J3" s="24" t="s">
        <v>568</v>
      </c>
      <c r="K3" s="49">
        <v>157540</v>
      </c>
    </row>
    <row r="4" spans="1:11" ht="43.2" x14ac:dyDescent="0.3">
      <c r="A4" s="45" t="s">
        <v>467</v>
      </c>
      <c r="B4" s="24" t="s">
        <v>527</v>
      </c>
      <c r="C4" s="24"/>
      <c r="D4" s="24"/>
      <c r="E4" s="24"/>
      <c r="F4" s="24"/>
      <c r="G4" s="24"/>
      <c r="H4" s="24"/>
      <c r="I4" s="24"/>
      <c r="J4" s="24" t="s">
        <v>569</v>
      </c>
      <c r="K4" s="49">
        <v>117100</v>
      </c>
    </row>
    <row r="5" spans="1:11" ht="57.6" x14ac:dyDescent="0.3">
      <c r="A5" s="45" t="s">
        <v>528</v>
      </c>
      <c r="B5" s="24" t="s">
        <v>529</v>
      </c>
      <c r="C5" s="24"/>
      <c r="D5" s="24"/>
      <c r="E5" s="24"/>
      <c r="F5" s="24"/>
      <c r="G5" s="24"/>
      <c r="H5" s="24"/>
      <c r="I5" s="24"/>
      <c r="J5" s="24" t="s">
        <v>570</v>
      </c>
      <c r="K5" s="49">
        <v>201520</v>
      </c>
    </row>
    <row r="6" spans="1:11" ht="28.8" x14ac:dyDescent="0.3">
      <c r="A6" s="45" t="s">
        <v>232</v>
      </c>
      <c r="B6" s="24">
        <v>24</v>
      </c>
      <c r="C6" s="24"/>
      <c r="D6" s="24"/>
      <c r="E6" s="24"/>
      <c r="F6" s="24"/>
      <c r="G6" s="24"/>
      <c r="H6" s="24"/>
      <c r="I6" s="24"/>
      <c r="J6" s="24" t="s">
        <v>571</v>
      </c>
      <c r="K6" s="49">
        <v>84420</v>
      </c>
    </row>
    <row r="7" spans="1:11" ht="57.6" x14ac:dyDescent="0.3">
      <c r="A7" s="45" t="s">
        <v>530</v>
      </c>
      <c r="B7" s="24" t="s">
        <v>531</v>
      </c>
      <c r="C7" s="24"/>
      <c r="D7" s="24"/>
      <c r="E7" s="24"/>
      <c r="F7" s="24"/>
      <c r="G7" s="24"/>
      <c r="H7" s="24"/>
      <c r="I7" s="24"/>
      <c r="J7" s="24" t="s">
        <v>572</v>
      </c>
      <c r="K7" s="24" t="s">
        <v>573</v>
      </c>
    </row>
    <row r="8" spans="1:11" ht="72" x14ac:dyDescent="0.3">
      <c r="A8" s="45" t="s">
        <v>233</v>
      </c>
      <c r="B8" s="31">
        <v>0.9883092154482348</v>
      </c>
      <c r="C8" s="24"/>
      <c r="D8" s="24"/>
      <c r="E8" s="24"/>
      <c r="F8" s="24"/>
      <c r="G8" s="24"/>
      <c r="H8" s="24"/>
      <c r="I8" s="24"/>
      <c r="J8" s="24" t="s">
        <v>574</v>
      </c>
      <c r="K8" s="49">
        <v>4993.8883834350099</v>
      </c>
    </row>
    <row r="9" spans="1:11" ht="115.2" x14ac:dyDescent="0.3">
      <c r="A9" s="45" t="s">
        <v>234</v>
      </c>
      <c r="B9" s="31">
        <v>0.98719580739568569</v>
      </c>
      <c r="C9" s="24"/>
      <c r="D9" s="24"/>
      <c r="E9" s="24"/>
      <c r="F9" s="24"/>
      <c r="G9" s="24"/>
      <c r="H9" s="24"/>
      <c r="I9" s="24"/>
      <c r="J9" s="24" t="s">
        <v>575</v>
      </c>
      <c r="K9" s="24" t="s">
        <v>576</v>
      </c>
    </row>
    <row r="10" spans="1:11" ht="72" x14ac:dyDescent="0.3">
      <c r="A10" s="45" t="s">
        <v>532</v>
      </c>
      <c r="B10" s="49">
        <v>2547.9022364464336</v>
      </c>
      <c r="C10" s="24"/>
      <c r="D10" s="24"/>
      <c r="E10" s="24"/>
      <c r="F10" s="24"/>
      <c r="G10" s="24"/>
      <c r="H10" s="24"/>
      <c r="I10" s="24"/>
      <c r="J10" s="24"/>
      <c r="K10" s="24"/>
    </row>
    <row r="11" spans="1:11" ht="57.6" x14ac:dyDescent="0.3">
      <c r="A11" s="45" t="s">
        <v>257</v>
      </c>
      <c r="B11" s="49">
        <v>2099.5454270870591</v>
      </c>
      <c r="C11" s="24"/>
      <c r="D11" s="24"/>
      <c r="E11" s="24"/>
      <c r="F11" s="24"/>
      <c r="G11" s="24"/>
      <c r="H11" s="24"/>
      <c r="I11" s="24"/>
      <c r="J11" s="43" t="s">
        <v>578</v>
      </c>
      <c r="K11" s="43"/>
    </row>
    <row r="12" spans="1:11" ht="57.6" x14ac:dyDescent="0.3">
      <c r="A12" s="45" t="s">
        <v>258</v>
      </c>
      <c r="B12" s="49">
        <v>2345.6840032679406</v>
      </c>
      <c r="C12" s="24"/>
      <c r="D12" s="24"/>
      <c r="E12" s="24"/>
      <c r="F12" s="24"/>
      <c r="G12" s="24"/>
      <c r="H12" s="24"/>
      <c r="I12" s="24"/>
      <c r="J12" s="44" t="s">
        <v>579</v>
      </c>
      <c r="K12" s="46">
        <f>INDEX(LINEST(Time_Leakage!$E$7:$E$30,Time_Leakage!$B$7:$C$30,TRUE,TRUE),1,2)</f>
        <v>3.1871275771779879</v>
      </c>
    </row>
    <row r="13" spans="1:11" ht="72" x14ac:dyDescent="0.3">
      <c r="A13" s="45" t="s">
        <v>533</v>
      </c>
      <c r="B13" s="31">
        <v>1.3824134286587643E-2</v>
      </c>
      <c r="C13" s="24"/>
      <c r="D13" s="24"/>
      <c r="E13" s="24"/>
      <c r="F13" s="24"/>
      <c r="G13" s="24"/>
      <c r="H13" s="24"/>
      <c r="I13" s="24"/>
      <c r="J13" s="44" t="s">
        <v>580</v>
      </c>
      <c r="K13" s="49">
        <f>INDEX(LINEST(Time_Leakage!$E$7:$E$30,Time_Leakage!$B$7:$C$30,TRUE,TRUE),1,1)</f>
        <v>626.51934958116954</v>
      </c>
    </row>
    <row r="14" spans="1:11" ht="57.6" x14ac:dyDescent="0.3">
      <c r="A14" s="45" t="s">
        <v>236</v>
      </c>
      <c r="B14" s="24" t="s">
        <v>534</v>
      </c>
      <c r="C14" s="24"/>
      <c r="D14" s="24"/>
      <c r="E14" s="24"/>
      <c r="F14" s="24"/>
      <c r="G14" s="24"/>
      <c r="H14" s="24"/>
      <c r="I14" s="24"/>
      <c r="J14" s="44" t="s">
        <v>255</v>
      </c>
      <c r="K14" s="49">
        <f>INDEX(LINEST(Time_Leakage!$E$7:$E$30,Time_Leakage!$B$7:$C$30,TRUE,TRUE),1,3)</f>
        <v>47583.865681796204</v>
      </c>
    </row>
    <row r="15" spans="1:11" ht="43.2" x14ac:dyDescent="0.3">
      <c r="A15" s="45" t="s">
        <v>224</v>
      </c>
      <c r="B15" s="34" t="s">
        <v>52</v>
      </c>
      <c r="C15" s="24"/>
      <c r="D15" s="24"/>
      <c r="E15" s="24"/>
      <c r="F15" s="24"/>
      <c r="G15" s="24"/>
      <c r="H15" s="24"/>
      <c r="I15" s="24"/>
      <c r="J15" s="44" t="s">
        <v>233</v>
      </c>
      <c r="K15" s="31">
        <f>INDEX(LINEST(Time_Leakage!$E$7:$E$30,Time_Leakage!$B$7:$C$30,TRUE,TRUE),3,1)</f>
        <v>0.98830921544823469</v>
      </c>
    </row>
    <row r="16" spans="1:11" ht="43.2" x14ac:dyDescent="0.3">
      <c r="A16" s="24"/>
      <c r="B16" s="24"/>
      <c r="C16" s="24"/>
      <c r="D16" s="24"/>
      <c r="E16" s="24"/>
      <c r="F16" s="24"/>
      <c r="G16" s="24"/>
      <c r="H16" s="24"/>
      <c r="I16" s="24"/>
      <c r="J16" s="44" t="s">
        <v>234</v>
      </c>
      <c r="K16" s="31">
        <f>1-(1-K15)*(COUNT(Time_Leakage!$E$7:$E$30)-1)/(COUNT(Time_Leakage!$E$7:$E$30)-2-1)</f>
        <v>0.98719580739568558</v>
      </c>
    </row>
    <row r="17" spans="1:11" ht="28.8" x14ac:dyDescent="0.3">
      <c r="A17" s="43" t="s">
        <v>238</v>
      </c>
      <c r="B17" s="43" t="s">
        <v>239</v>
      </c>
      <c r="C17" s="43" t="s">
        <v>240</v>
      </c>
      <c r="D17" s="43" t="s">
        <v>241</v>
      </c>
      <c r="E17" s="43" t="s">
        <v>242</v>
      </c>
      <c r="F17" s="43" t="s">
        <v>279</v>
      </c>
      <c r="G17" s="43" t="s">
        <v>244</v>
      </c>
      <c r="H17" s="24"/>
      <c r="I17" s="24"/>
      <c r="J17" s="44" t="s">
        <v>277</v>
      </c>
      <c r="K17" s="49">
        <f>INDEX(LINEST(Time_Leakage!$E$7:$E$30,Time_Leakage!$B$7:$C$30,TRUE,TRUE),3,2)</f>
        <v>2547.9022364464386</v>
      </c>
    </row>
    <row r="18" spans="1:11" ht="28.8" x14ac:dyDescent="0.3">
      <c r="A18" s="24">
        <v>1</v>
      </c>
      <c r="B18" s="24" t="s">
        <v>69</v>
      </c>
      <c r="C18" s="24" t="s">
        <v>245</v>
      </c>
      <c r="D18" s="46">
        <v>3.1871275771779564</v>
      </c>
      <c r="E18" s="24" t="s">
        <v>280</v>
      </c>
      <c r="F18" s="24" t="s">
        <v>535</v>
      </c>
      <c r="G18" s="24" t="s">
        <v>281</v>
      </c>
      <c r="H18" s="24"/>
      <c r="I18" s="24"/>
      <c r="J18" s="44" t="s">
        <v>581</v>
      </c>
      <c r="K18" s="24" t="s">
        <v>582</v>
      </c>
    </row>
    <row r="19" spans="1:11" ht="28.8" x14ac:dyDescent="0.3">
      <c r="A19" s="24">
        <v>2</v>
      </c>
      <c r="B19" s="24" t="s">
        <v>212</v>
      </c>
      <c r="C19" s="24" t="s">
        <v>245</v>
      </c>
      <c r="D19" s="49">
        <v>626.51934958115692</v>
      </c>
      <c r="E19" s="24" t="s">
        <v>280</v>
      </c>
      <c r="F19" s="24" t="s">
        <v>536</v>
      </c>
      <c r="G19" s="24" t="s">
        <v>537</v>
      </c>
      <c r="H19" s="24"/>
      <c r="I19" s="24"/>
      <c r="J19" s="24"/>
      <c r="K19" s="24"/>
    </row>
    <row r="20" spans="1:11" x14ac:dyDescent="0.3">
      <c r="A20" s="24"/>
      <c r="B20" s="24"/>
      <c r="C20" s="24"/>
      <c r="D20" s="24"/>
      <c r="E20" s="24"/>
      <c r="F20" s="24"/>
      <c r="G20" s="24"/>
      <c r="H20" s="24"/>
      <c r="I20" s="24"/>
      <c r="J20" s="24"/>
      <c r="K20" s="24"/>
    </row>
    <row r="21" spans="1:11" ht="28.8" x14ac:dyDescent="0.3">
      <c r="A21" s="44" t="s">
        <v>247</v>
      </c>
      <c r="B21" s="44" t="s">
        <v>248</v>
      </c>
      <c r="C21" s="44" t="s">
        <v>284</v>
      </c>
      <c r="D21" s="24"/>
      <c r="E21" s="24"/>
      <c r="F21" s="24"/>
      <c r="G21" s="24"/>
      <c r="H21" s="24"/>
      <c r="I21" s="24"/>
      <c r="J21" s="24"/>
      <c r="K21" s="24"/>
    </row>
    <row r="22" spans="1:11" ht="100.8" x14ac:dyDescent="0.3">
      <c r="A22" s="24" t="s">
        <v>249</v>
      </c>
      <c r="B22" s="24" t="s">
        <v>250</v>
      </c>
      <c r="C22" s="24" t="s">
        <v>538</v>
      </c>
      <c r="D22" s="24"/>
      <c r="E22" s="24"/>
      <c r="F22" s="24"/>
      <c r="G22" s="24"/>
      <c r="H22" s="24"/>
      <c r="I22" s="24"/>
      <c r="J22" s="24"/>
      <c r="K22" s="24"/>
    </row>
    <row r="23" spans="1:11" ht="144" x14ac:dyDescent="0.3">
      <c r="A23" s="24" t="s">
        <v>251</v>
      </c>
      <c r="B23" s="24" t="s">
        <v>250</v>
      </c>
      <c r="C23" s="24" t="s">
        <v>539</v>
      </c>
      <c r="D23" s="24"/>
      <c r="E23" s="24"/>
      <c r="F23" s="24"/>
      <c r="G23" s="24"/>
      <c r="H23" s="24"/>
      <c r="I23" s="24"/>
      <c r="J23" s="24"/>
      <c r="K23" s="24"/>
    </row>
    <row r="24" spans="1:11" ht="86.4" x14ac:dyDescent="0.3">
      <c r="A24" s="24" t="s">
        <v>29</v>
      </c>
      <c r="B24" s="24" t="s">
        <v>250</v>
      </c>
      <c r="C24" s="24" t="s">
        <v>540</v>
      </c>
      <c r="D24" s="24"/>
      <c r="E24" s="24"/>
      <c r="F24" s="24"/>
      <c r="G24" s="24"/>
      <c r="H24" s="24"/>
      <c r="I24" s="24"/>
      <c r="J24" s="24"/>
      <c r="K24" s="24"/>
    </row>
    <row r="25" spans="1:11" ht="144" x14ac:dyDescent="0.3">
      <c r="A25" s="24" t="s">
        <v>222</v>
      </c>
      <c r="B25" s="24" t="s">
        <v>52</v>
      </c>
      <c r="C25" s="24" t="s">
        <v>541</v>
      </c>
      <c r="D25" s="24"/>
      <c r="E25" s="24"/>
      <c r="F25" s="24"/>
      <c r="G25" s="24"/>
      <c r="H25" s="24"/>
      <c r="I25" s="24"/>
      <c r="J25" s="24"/>
      <c r="K25" s="24"/>
    </row>
    <row r="26" spans="1:11" ht="129.6" x14ac:dyDescent="0.3">
      <c r="A26" s="24" t="s">
        <v>542</v>
      </c>
      <c r="B26" s="24" t="s">
        <v>250</v>
      </c>
      <c r="C26" s="24" t="s">
        <v>543</v>
      </c>
      <c r="D26" s="24"/>
      <c r="E26" s="24"/>
      <c r="F26" s="24"/>
      <c r="G26" s="24"/>
      <c r="H26" s="24"/>
      <c r="I26" s="24"/>
      <c r="J26" s="24"/>
      <c r="K26" s="24"/>
    </row>
    <row r="27" spans="1:11" ht="216" x14ac:dyDescent="0.3">
      <c r="A27" s="24" t="s">
        <v>544</v>
      </c>
      <c r="B27" s="24" t="s">
        <v>254</v>
      </c>
      <c r="C27" s="24" t="s">
        <v>545</v>
      </c>
      <c r="D27" s="24"/>
      <c r="E27" s="24"/>
      <c r="F27" s="24"/>
      <c r="G27" s="24"/>
      <c r="H27" s="24"/>
      <c r="I27" s="24"/>
      <c r="J27" s="24"/>
      <c r="K27" s="24"/>
    </row>
    <row r="28" spans="1:11" x14ac:dyDescent="0.3">
      <c r="A28" s="24"/>
      <c r="B28" s="24"/>
      <c r="C28" s="24"/>
      <c r="D28" s="24"/>
      <c r="E28" s="24"/>
      <c r="F28" s="24"/>
      <c r="G28" s="24"/>
      <c r="H28" s="24"/>
      <c r="I28" s="24"/>
      <c r="J28" s="24"/>
      <c r="K28" s="24"/>
    </row>
    <row r="29" spans="1:11" ht="57.6" x14ac:dyDescent="0.3">
      <c r="A29" s="44" t="s">
        <v>354</v>
      </c>
      <c r="B29" s="44" t="s">
        <v>233</v>
      </c>
      <c r="C29" s="44" t="s">
        <v>546</v>
      </c>
      <c r="D29" s="44" t="s">
        <v>547</v>
      </c>
      <c r="E29" s="24"/>
      <c r="F29" s="24"/>
      <c r="G29" s="24"/>
      <c r="H29" s="24"/>
      <c r="I29" s="24"/>
      <c r="J29" s="24"/>
      <c r="K29" s="24"/>
    </row>
    <row r="30" spans="1:11" ht="72" x14ac:dyDescent="0.3">
      <c r="A30" s="24" t="s">
        <v>548</v>
      </c>
      <c r="B30" s="31">
        <v>0.9883092154482348</v>
      </c>
      <c r="C30" s="49">
        <v>2345.6840032679406</v>
      </c>
      <c r="D30" s="24" t="s">
        <v>549</v>
      </c>
      <c r="E30" s="24"/>
      <c r="F30" s="24"/>
      <c r="G30" s="24"/>
      <c r="H30" s="24"/>
      <c r="I30" s="24"/>
      <c r="J30" s="24"/>
      <c r="K30" s="24"/>
    </row>
    <row r="31" spans="1:11" ht="57.6" x14ac:dyDescent="0.3">
      <c r="A31" s="24" t="s">
        <v>550</v>
      </c>
      <c r="B31" s="31">
        <v>0.99990721808707694</v>
      </c>
      <c r="C31" s="49">
        <v>265.20855484630488</v>
      </c>
      <c r="D31" s="24" t="s">
        <v>551</v>
      </c>
      <c r="E31" s="24"/>
      <c r="F31" s="24"/>
      <c r="G31" s="24"/>
      <c r="H31" s="24"/>
      <c r="I31" s="24"/>
      <c r="J31" s="24"/>
      <c r="K31" s="24"/>
    </row>
    <row r="32" spans="1:11" x14ac:dyDescent="0.3">
      <c r="A32" s="24"/>
      <c r="B32" s="24"/>
      <c r="C32" s="24"/>
      <c r="D32" s="24"/>
      <c r="E32" s="24"/>
      <c r="F32" s="24"/>
      <c r="G32" s="24"/>
      <c r="H32" s="24"/>
      <c r="I32" s="24"/>
      <c r="J32" s="24"/>
      <c r="K32" s="24"/>
    </row>
    <row r="33" spans="1:11" ht="28.8" x14ac:dyDescent="0.3">
      <c r="A33" s="44" t="s">
        <v>241</v>
      </c>
      <c r="B33" s="44" t="s">
        <v>552</v>
      </c>
      <c r="C33" s="44" t="s">
        <v>553</v>
      </c>
      <c r="D33" s="44" t="s">
        <v>554</v>
      </c>
      <c r="E33" s="24"/>
      <c r="F33" s="24"/>
      <c r="G33" s="24"/>
      <c r="H33" s="24"/>
      <c r="I33" s="24"/>
      <c r="J33" s="24"/>
      <c r="K33" s="24"/>
    </row>
    <row r="34" spans="1:11" x14ac:dyDescent="0.3">
      <c r="A34" s="24" t="s">
        <v>255</v>
      </c>
      <c r="B34" s="46">
        <v>47583.865681797877</v>
      </c>
      <c r="C34" s="46">
        <v>7981.4432694239949</v>
      </c>
      <c r="D34" s="24" t="s">
        <v>555</v>
      </c>
      <c r="E34" s="24"/>
      <c r="F34" s="24"/>
      <c r="G34" s="24"/>
      <c r="H34" s="24"/>
      <c r="I34" s="24"/>
      <c r="J34" s="24"/>
      <c r="K34" s="24"/>
    </row>
    <row r="35" spans="1:11" ht="43.2" x14ac:dyDescent="0.3">
      <c r="A35" s="24" t="s">
        <v>69</v>
      </c>
      <c r="B35" s="46">
        <v>3.1871275771779564</v>
      </c>
      <c r="C35" s="46">
        <v>0.47320801706748405</v>
      </c>
      <c r="D35" s="24" t="s">
        <v>556</v>
      </c>
      <c r="E35" s="24"/>
      <c r="F35" s="24"/>
      <c r="G35" s="24"/>
      <c r="H35" s="24"/>
      <c r="I35" s="24"/>
      <c r="J35" s="24"/>
      <c r="K35" s="24"/>
    </row>
    <row r="36" spans="1:11" ht="43.2" x14ac:dyDescent="0.3">
      <c r="A36" s="24" t="s">
        <v>557</v>
      </c>
      <c r="B36" s="46">
        <v>626.51934958115692</v>
      </c>
      <c r="C36" s="46">
        <v>101.06383291674808</v>
      </c>
      <c r="D36" s="24" t="s">
        <v>556</v>
      </c>
      <c r="E36" s="24"/>
      <c r="F36" s="24"/>
      <c r="G36" s="24"/>
      <c r="H36" s="24"/>
      <c r="I36" s="24"/>
      <c r="J36" s="24"/>
      <c r="K36" s="24"/>
    </row>
    <row r="37" spans="1:11" ht="57.6" x14ac:dyDescent="0.3">
      <c r="A37" s="24" t="s">
        <v>558</v>
      </c>
      <c r="B37" s="24" t="s">
        <v>559</v>
      </c>
      <c r="C37" s="46">
        <v>5.2639226065242912</v>
      </c>
      <c r="D37" s="24" t="s">
        <v>560</v>
      </c>
      <c r="E37" s="24"/>
      <c r="F37" s="24"/>
      <c r="G37" s="24"/>
      <c r="H37" s="24"/>
      <c r="I37" s="24"/>
      <c r="J37" s="24"/>
      <c r="K37" s="24"/>
    </row>
    <row r="38" spans="1:11" x14ac:dyDescent="0.3">
      <c r="A38" s="24"/>
      <c r="B38" s="24"/>
      <c r="C38" s="24"/>
      <c r="D38" s="24"/>
      <c r="E38" s="24"/>
      <c r="F38" s="24"/>
      <c r="G38" s="24"/>
      <c r="H38" s="24"/>
      <c r="I38" s="24"/>
      <c r="J38" s="24"/>
      <c r="K38" s="24"/>
    </row>
    <row r="39" spans="1:11" ht="43.2" x14ac:dyDescent="0.3">
      <c r="A39" s="44" t="s">
        <v>68</v>
      </c>
      <c r="B39" s="44" t="s">
        <v>69</v>
      </c>
      <c r="C39" s="44" t="s">
        <v>557</v>
      </c>
      <c r="D39" s="44" t="s">
        <v>214</v>
      </c>
      <c r="E39" s="44" t="s">
        <v>561</v>
      </c>
      <c r="F39" s="44" t="s">
        <v>261</v>
      </c>
      <c r="G39" s="44" t="s">
        <v>562</v>
      </c>
      <c r="H39" s="44" t="s">
        <v>563</v>
      </c>
      <c r="I39" s="24"/>
      <c r="J39" s="24"/>
      <c r="K39" s="24"/>
    </row>
    <row r="40" spans="1:11" x14ac:dyDescent="0.3">
      <c r="A40" s="50">
        <v>45292</v>
      </c>
      <c r="B40" s="49">
        <v>14000</v>
      </c>
      <c r="C40" s="24">
        <v>45</v>
      </c>
      <c r="D40" s="49">
        <v>117100</v>
      </c>
      <c r="E40" s="49">
        <v>120397.02249344133</v>
      </c>
      <c r="F40" s="51">
        <v>-3297.0224934413272</v>
      </c>
      <c r="G40" s="49"/>
      <c r="H40" s="24" t="s">
        <v>564</v>
      </c>
      <c r="I40" s="24"/>
      <c r="J40" s="24"/>
      <c r="K40" s="24"/>
    </row>
    <row r="41" spans="1:11" x14ac:dyDescent="0.3">
      <c r="A41" s="50">
        <v>45323</v>
      </c>
      <c r="B41" s="49">
        <v>16200</v>
      </c>
      <c r="C41" s="24">
        <v>52</v>
      </c>
      <c r="D41" s="49">
        <v>134560</v>
      </c>
      <c r="E41" s="49">
        <v>131794.33861030094</v>
      </c>
      <c r="F41" s="51">
        <v>2765.6613896990602</v>
      </c>
      <c r="G41" s="49"/>
      <c r="H41" s="24" t="s">
        <v>564</v>
      </c>
      <c r="I41" s="24"/>
      <c r="J41" s="24"/>
      <c r="K41" s="24"/>
    </row>
    <row r="42" spans="1:11" x14ac:dyDescent="0.3">
      <c r="A42" s="50">
        <v>45352</v>
      </c>
      <c r="B42" s="49">
        <v>18400</v>
      </c>
      <c r="C42" s="24">
        <v>59</v>
      </c>
      <c r="D42" s="49">
        <v>142020</v>
      </c>
      <c r="E42" s="49">
        <v>143191.65472716052</v>
      </c>
      <c r="F42" s="51">
        <v>-1171.6547271605232</v>
      </c>
      <c r="G42" s="49"/>
      <c r="H42" s="24" t="s">
        <v>564</v>
      </c>
      <c r="I42" s="24"/>
      <c r="J42" s="24"/>
      <c r="K42" s="24"/>
    </row>
    <row r="43" spans="1:11" x14ac:dyDescent="0.3">
      <c r="A43" s="50">
        <v>45383</v>
      </c>
      <c r="B43" s="49">
        <v>20600</v>
      </c>
      <c r="C43" s="24">
        <v>66</v>
      </c>
      <c r="D43" s="49">
        <v>157680</v>
      </c>
      <c r="E43" s="49">
        <v>154588.97084402014</v>
      </c>
      <c r="F43" s="51">
        <v>3091.0291559798643</v>
      </c>
      <c r="G43" s="49"/>
      <c r="H43" s="24" t="s">
        <v>564</v>
      </c>
      <c r="I43" s="24"/>
      <c r="J43" s="24"/>
      <c r="K43" s="24"/>
    </row>
    <row r="44" spans="1:11" x14ac:dyDescent="0.3">
      <c r="A44" s="50">
        <v>45413</v>
      </c>
      <c r="B44" s="49">
        <v>22800</v>
      </c>
      <c r="C44" s="24">
        <v>73</v>
      </c>
      <c r="D44" s="49">
        <v>165040</v>
      </c>
      <c r="E44" s="49">
        <v>165986.28696087975</v>
      </c>
      <c r="F44" s="51">
        <v>-946.28696087974822</v>
      </c>
      <c r="G44" s="49"/>
      <c r="H44" s="24" t="s">
        <v>564</v>
      </c>
      <c r="I44" s="24"/>
      <c r="J44" s="24"/>
      <c r="K44" s="24"/>
    </row>
    <row r="45" spans="1:11" x14ac:dyDescent="0.3">
      <c r="A45" s="50">
        <v>45444</v>
      </c>
      <c r="B45" s="49">
        <v>25000</v>
      </c>
      <c r="C45" s="24">
        <v>80</v>
      </c>
      <c r="D45" s="49">
        <v>178400</v>
      </c>
      <c r="E45" s="49">
        <v>177383.60307773933</v>
      </c>
      <c r="F45" s="51">
        <v>1016.3969222606684</v>
      </c>
      <c r="G45" s="49"/>
      <c r="H45" s="24" t="s">
        <v>564</v>
      </c>
      <c r="I45" s="24"/>
      <c r="J45" s="24"/>
      <c r="K45" s="24"/>
    </row>
    <row r="46" spans="1:11" x14ac:dyDescent="0.3">
      <c r="A46" s="50">
        <v>45474</v>
      </c>
      <c r="B46" s="49">
        <v>27200</v>
      </c>
      <c r="C46" s="24">
        <v>87</v>
      </c>
      <c r="D46" s="49">
        <v>184060</v>
      </c>
      <c r="E46" s="49">
        <v>188780.91919459894</v>
      </c>
      <c r="F46" s="51">
        <v>-4720.9191945989442</v>
      </c>
      <c r="G46" s="49"/>
      <c r="H46" s="24" t="s">
        <v>564</v>
      </c>
      <c r="I46" s="24"/>
      <c r="J46" s="24"/>
      <c r="K46" s="24"/>
    </row>
    <row r="47" spans="1:11" x14ac:dyDescent="0.3">
      <c r="A47" s="50">
        <v>45505</v>
      </c>
      <c r="B47" s="49">
        <v>29400</v>
      </c>
      <c r="C47" s="24">
        <v>94</v>
      </c>
      <c r="D47" s="49">
        <v>201520</v>
      </c>
      <c r="E47" s="49">
        <v>200178.23531145856</v>
      </c>
      <c r="F47" s="51">
        <v>1341.7646885414433</v>
      </c>
      <c r="G47" s="49"/>
      <c r="H47" s="24" t="s">
        <v>564</v>
      </c>
      <c r="I47" s="24"/>
      <c r="J47" s="24"/>
      <c r="K47" s="24"/>
    </row>
    <row r="48" spans="1:11" x14ac:dyDescent="0.3">
      <c r="A48" s="50">
        <v>45536</v>
      </c>
      <c r="B48" s="49">
        <v>14000</v>
      </c>
      <c r="C48" s="24">
        <v>101</v>
      </c>
      <c r="D48" s="49">
        <v>154420</v>
      </c>
      <c r="E48" s="49">
        <v>155482.1060699861</v>
      </c>
      <c r="F48" s="51">
        <v>-1062.1060699860973</v>
      </c>
      <c r="G48" s="49"/>
      <c r="H48" s="24" t="s">
        <v>564</v>
      </c>
      <c r="I48" s="24"/>
      <c r="J48" s="24"/>
      <c r="K48" s="24"/>
    </row>
    <row r="49" spans="1:11" x14ac:dyDescent="0.3">
      <c r="A49" s="50">
        <v>45566</v>
      </c>
      <c r="B49" s="49">
        <v>16200</v>
      </c>
      <c r="C49" s="24">
        <v>45</v>
      </c>
      <c r="D49" s="49">
        <v>131020</v>
      </c>
      <c r="E49" s="49">
        <v>127408.70316323283</v>
      </c>
      <c r="F49" s="51">
        <v>3611.296836767171</v>
      </c>
      <c r="G49" s="49"/>
      <c r="H49" s="24" t="s">
        <v>564</v>
      </c>
      <c r="I49" s="24"/>
      <c r="J49" s="24"/>
      <c r="K49" s="24"/>
    </row>
    <row r="50" spans="1:11" x14ac:dyDescent="0.3">
      <c r="A50" s="50">
        <v>45597</v>
      </c>
      <c r="B50" s="49">
        <v>18400</v>
      </c>
      <c r="C50" s="24">
        <v>52</v>
      </c>
      <c r="D50" s="49">
        <v>138380</v>
      </c>
      <c r="E50" s="49">
        <v>138806.01928009244</v>
      </c>
      <c r="F50" s="51">
        <v>-426.01928009244148</v>
      </c>
      <c r="G50" s="49"/>
      <c r="H50" s="24" t="s">
        <v>564</v>
      </c>
      <c r="I50" s="24"/>
      <c r="J50" s="24"/>
      <c r="K50" s="24"/>
    </row>
    <row r="51" spans="1:11" x14ac:dyDescent="0.3">
      <c r="A51" s="50">
        <v>45627</v>
      </c>
      <c r="B51" s="49">
        <v>20600</v>
      </c>
      <c r="C51" s="24">
        <v>59</v>
      </c>
      <c r="D51" s="49">
        <v>151740</v>
      </c>
      <c r="E51" s="49">
        <v>150203.33539695202</v>
      </c>
      <c r="F51" s="51">
        <v>1536.6646030479751</v>
      </c>
      <c r="G51" s="49"/>
      <c r="H51" s="24" t="s">
        <v>564</v>
      </c>
      <c r="I51" s="24"/>
      <c r="J51" s="24"/>
      <c r="K51" s="24"/>
    </row>
    <row r="52" spans="1:11" x14ac:dyDescent="0.3">
      <c r="A52" s="50">
        <v>45658</v>
      </c>
      <c r="B52" s="49">
        <v>22800</v>
      </c>
      <c r="C52" s="24">
        <v>66</v>
      </c>
      <c r="D52" s="49">
        <v>157400</v>
      </c>
      <c r="E52" s="49">
        <v>161600.65151381164</v>
      </c>
      <c r="F52" s="51">
        <v>-4200.6515138116374</v>
      </c>
      <c r="G52" s="49"/>
      <c r="H52" s="24" t="s">
        <v>564</v>
      </c>
      <c r="I52" s="24"/>
      <c r="J52" s="24"/>
      <c r="K52" s="24"/>
    </row>
    <row r="53" spans="1:11" x14ac:dyDescent="0.3">
      <c r="A53" s="50">
        <v>45689</v>
      </c>
      <c r="B53" s="49">
        <v>25000</v>
      </c>
      <c r="C53" s="24">
        <v>73</v>
      </c>
      <c r="D53" s="49">
        <v>174860</v>
      </c>
      <c r="E53" s="49">
        <v>172997.96763067122</v>
      </c>
      <c r="F53" s="51">
        <v>1862.0323693287792</v>
      </c>
      <c r="G53" s="49"/>
      <c r="H53" s="24" t="s">
        <v>564</v>
      </c>
      <c r="I53" s="24"/>
      <c r="J53" s="24"/>
      <c r="K53" s="24"/>
    </row>
    <row r="54" spans="1:11" x14ac:dyDescent="0.3">
      <c r="A54" s="50">
        <v>45717</v>
      </c>
      <c r="B54" s="49">
        <v>27200</v>
      </c>
      <c r="C54" s="24">
        <v>80</v>
      </c>
      <c r="D54" s="49">
        <v>182320</v>
      </c>
      <c r="E54" s="49">
        <v>184395.28374753083</v>
      </c>
      <c r="F54" s="51">
        <v>-2075.2837475308334</v>
      </c>
      <c r="G54" s="49"/>
      <c r="H54" s="24" t="s">
        <v>564</v>
      </c>
      <c r="I54" s="24"/>
      <c r="J54" s="24"/>
      <c r="K54" s="24"/>
    </row>
    <row r="55" spans="1:11" x14ac:dyDescent="0.3">
      <c r="A55" s="50">
        <v>45748</v>
      </c>
      <c r="B55" s="49">
        <v>29400</v>
      </c>
      <c r="C55" s="24">
        <v>87</v>
      </c>
      <c r="D55" s="49">
        <v>197980</v>
      </c>
      <c r="E55" s="49">
        <v>195792.59986439045</v>
      </c>
      <c r="F55" s="51">
        <v>2187.4001356095541</v>
      </c>
      <c r="G55" s="49"/>
      <c r="H55" s="24" t="s">
        <v>564</v>
      </c>
      <c r="I55" s="24"/>
      <c r="J55" s="24"/>
      <c r="K55" s="24"/>
    </row>
    <row r="56" spans="1:11" x14ac:dyDescent="0.3">
      <c r="A56" s="50">
        <v>45778</v>
      </c>
      <c r="B56" s="49">
        <v>14000</v>
      </c>
      <c r="C56" s="24">
        <v>94</v>
      </c>
      <c r="D56" s="49">
        <v>150780</v>
      </c>
      <c r="E56" s="49">
        <v>151096.47062291802</v>
      </c>
      <c r="F56" s="51">
        <v>-316.47062291801558</v>
      </c>
      <c r="G56" s="49"/>
      <c r="H56" s="24" t="s">
        <v>564</v>
      </c>
      <c r="I56" s="24"/>
      <c r="J56" s="24"/>
      <c r="K56" s="24"/>
    </row>
    <row r="57" spans="1:11" x14ac:dyDescent="0.3">
      <c r="A57" s="50">
        <v>45809</v>
      </c>
      <c r="B57" s="49">
        <v>16200</v>
      </c>
      <c r="C57" s="24">
        <v>101</v>
      </c>
      <c r="D57" s="49">
        <v>164140</v>
      </c>
      <c r="E57" s="49">
        <v>162493.78673977763</v>
      </c>
      <c r="F57" s="51">
        <v>1646.2132602223719</v>
      </c>
      <c r="G57" s="49"/>
      <c r="H57" s="24" t="s">
        <v>564</v>
      </c>
      <c r="I57" s="24"/>
      <c r="J57" s="24"/>
      <c r="K57" s="24"/>
    </row>
    <row r="58" spans="1:11" x14ac:dyDescent="0.3">
      <c r="A58" s="50">
        <v>45839</v>
      </c>
      <c r="B58" s="49">
        <v>18400</v>
      </c>
      <c r="C58" s="24">
        <v>45</v>
      </c>
      <c r="D58" s="49">
        <v>130740</v>
      </c>
      <c r="E58" s="49">
        <v>134420.38383302433</v>
      </c>
      <c r="F58" s="51">
        <v>-3680.3838330243307</v>
      </c>
      <c r="G58" s="49">
        <v>134758.43663162959</v>
      </c>
      <c r="H58" s="24" t="s">
        <v>565</v>
      </c>
      <c r="I58" s="24"/>
      <c r="J58" s="24"/>
      <c r="K58" s="24"/>
    </row>
    <row r="59" spans="1:11" x14ac:dyDescent="0.3">
      <c r="A59" s="50">
        <v>45870</v>
      </c>
      <c r="B59" s="49">
        <v>20600</v>
      </c>
      <c r="C59" s="24">
        <v>52</v>
      </c>
      <c r="D59" s="49">
        <v>148200</v>
      </c>
      <c r="E59" s="49">
        <v>145817.69994988394</v>
      </c>
      <c r="F59" s="51">
        <v>2382.3000501160568</v>
      </c>
      <c r="G59" s="49">
        <v>146052.6791107888</v>
      </c>
      <c r="H59" s="24" t="s">
        <v>565</v>
      </c>
      <c r="I59" s="24"/>
      <c r="J59" s="24"/>
      <c r="K59" s="24"/>
    </row>
    <row r="60" spans="1:11" x14ac:dyDescent="0.3">
      <c r="A60" s="50">
        <v>45901</v>
      </c>
      <c r="B60" s="49">
        <v>22800</v>
      </c>
      <c r="C60" s="24">
        <v>59</v>
      </c>
      <c r="D60" s="49">
        <v>155660</v>
      </c>
      <c r="E60" s="49">
        <v>157215.01606674353</v>
      </c>
      <c r="F60" s="51">
        <v>-1555.0160667435266</v>
      </c>
      <c r="G60" s="49">
        <v>157346.92158994803</v>
      </c>
      <c r="H60" s="24" t="s">
        <v>565</v>
      </c>
      <c r="I60" s="24"/>
      <c r="J60" s="24"/>
      <c r="K60" s="24"/>
    </row>
    <row r="61" spans="1:11" x14ac:dyDescent="0.3">
      <c r="A61" s="50">
        <v>45931</v>
      </c>
      <c r="B61" s="49">
        <v>25000</v>
      </c>
      <c r="C61" s="24">
        <v>66</v>
      </c>
      <c r="D61" s="49">
        <v>171320</v>
      </c>
      <c r="E61" s="49">
        <v>168612.33218360314</v>
      </c>
      <c r="F61" s="51">
        <v>2707.6678163968609</v>
      </c>
      <c r="G61" s="49">
        <v>168641.16406910724</v>
      </c>
      <c r="H61" s="24" t="s">
        <v>565</v>
      </c>
      <c r="I61" s="24"/>
      <c r="J61" s="24"/>
      <c r="K61" s="24"/>
    </row>
    <row r="62" spans="1:11" x14ac:dyDescent="0.3">
      <c r="A62" s="50">
        <v>45962</v>
      </c>
      <c r="B62" s="49">
        <v>27200</v>
      </c>
      <c r="C62" s="24">
        <v>73</v>
      </c>
      <c r="D62" s="49">
        <v>178680</v>
      </c>
      <c r="E62" s="49">
        <v>180009.64830046275</v>
      </c>
      <c r="F62" s="51">
        <v>-1329.6483004627516</v>
      </c>
      <c r="G62" s="49">
        <v>179935.40654826644</v>
      </c>
      <c r="H62" s="24" t="s">
        <v>565</v>
      </c>
      <c r="I62" s="24"/>
      <c r="J62" s="24"/>
      <c r="K62" s="24"/>
    </row>
    <row r="63" spans="1:11" x14ac:dyDescent="0.3">
      <c r="A63" s="50">
        <v>45992</v>
      </c>
      <c r="B63" s="49">
        <v>29400</v>
      </c>
      <c r="C63" s="24">
        <v>80</v>
      </c>
      <c r="D63" s="49">
        <v>192040</v>
      </c>
      <c r="E63" s="49">
        <v>191406.96441732236</v>
      </c>
      <c r="F63" s="51">
        <v>633.03558267763583</v>
      </c>
      <c r="G63" s="49">
        <v>191229.64902742568</v>
      </c>
      <c r="H63" s="24" t="s">
        <v>565</v>
      </c>
      <c r="I63" s="24"/>
      <c r="J63" s="24"/>
      <c r="K63"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Prompt_Bank</vt:lpstr>
      <vt:lpstr>Answer_Key</vt:lpstr>
      <vt:lpstr>Simple_Linear</vt:lpstr>
      <vt:lpstr>Simple_Linear_Reg_Analysis</vt:lpstr>
      <vt:lpstr>Multiple_Regression</vt:lpstr>
      <vt:lpstr>Regression_Model_Summary</vt:lpstr>
      <vt:lpstr>Outlier_Influence</vt:lpstr>
      <vt:lpstr>Outlier_Influence_Reg_Analysis</vt:lpstr>
      <vt:lpstr>Multicollinearity</vt:lpstr>
      <vt:lpstr>Multicollinearity_Reg_Analysis</vt:lpstr>
      <vt:lpstr>Nonlinear_Risk</vt:lpstr>
      <vt:lpstr>Nonlinear_Risk_Reg_Analysis</vt:lpstr>
      <vt:lpstr>Binary_Outcome</vt:lpstr>
      <vt:lpstr>Binary_Outcome_Reg_Analysis</vt:lpstr>
      <vt:lpstr>Time_Leakage</vt:lpstr>
      <vt:lpstr>Time_Leakage_Reg_Analysis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Zapata</cp:lastModifiedBy>
  <dcterms:created xsi:type="dcterms:W3CDTF">2026-07-13T19:34:28Z</dcterms:created>
  <dcterms:modified xsi:type="dcterms:W3CDTF">2026-07-14T00:16:20Z</dcterms:modified>
</cp:coreProperties>
</file>